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9.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showObjects="placeholders" codeName="ThisWorkbook" defaultThemeVersion="124226"/>
  <mc:AlternateContent xmlns:mc="http://schemas.openxmlformats.org/markup-compatibility/2006">
    <mc:Choice Requires="x15">
      <x15ac:absPath xmlns:x15ac="http://schemas.microsoft.com/office/spreadsheetml/2010/11/ac" url="D:\MISA-LAPTOP-KQ4\MIS-A Jomer\Downloads\"/>
    </mc:Choice>
  </mc:AlternateContent>
  <xr:revisionPtr revIDLastSave="0" documentId="13_ncr:1_{2F99FFF1-3DB7-4DFB-B3A2-441EE956D4AA}" xr6:coauthVersionLast="47" xr6:coauthVersionMax="47" xr10:uidLastSave="{00000000-0000-0000-0000-000000000000}"/>
  <bookViews>
    <workbookView showHorizontalScroll="0" showVerticalScroll="0" xWindow="-120" yWindow="-120" windowWidth="20730" windowHeight="11040" tabRatio="855" firstSheet="1" activeTab="3" xr2:uid="{00000000-000D-0000-FFFF-FFFF00000000}"/>
  </bookViews>
  <sheets>
    <sheet name="MENU" sheetId="9" state="hidden" r:id="rId1"/>
    <sheet name="Master data Input" sheetId="2" r:id="rId2"/>
    <sheet name="computation sheet" sheetId="19" r:id="rId3"/>
    <sheet name="Monthly -client copy" sheetId="22" r:id="rId4"/>
    <sheet name="Semi Monthly SL" sheetId="29" state="hidden" r:id="rId5"/>
    <sheet name="Semi Monthly 3 SL" sheetId="1" state="hidden" r:id="rId6"/>
    <sheet name="Semi Monthly -client copy" sheetId="28" r:id="rId7"/>
    <sheet name="Semi Monthly" sheetId="15" state="hidden" r:id="rId8"/>
    <sheet name="48 payments (computation)semi" sheetId="17" state="hidden" r:id="rId9"/>
    <sheet name="Sheet3" sheetId="3" state="hidden" r:id="rId10"/>
    <sheet name="Agent" sheetId="13" state="hidden" r:id="rId11"/>
    <sheet name="Sheet1" sheetId="23" state="hidden" r:id="rId12"/>
    <sheet name="parameter" sheetId="24" state="hidden" r:id="rId13"/>
    <sheet name="Get Gross (2)" sheetId="26" state="hidden" r:id="rId14"/>
    <sheet name="Parameter (2)" sheetId="27" state="hidden" r:id="rId15"/>
  </sheets>
  <externalReferences>
    <externalReference r:id="rId16"/>
  </externalReferences>
  <definedNames>
    <definedName name="Account_Management_fee" localSheetId="13">'[1]Master data Input'!$C$39</definedName>
    <definedName name="Account_Management_fee" localSheetId="14">'[1]Master data Input'!$C$39</definedName>
    <definedName name="Account_Management_fee">'Master data Input'!$C$40</definedName>
    <definedName name="Address" localSheetId="13">'[1]Master data Input'!$C$7</definedName>
    <definedName name="Address" localSheetId="14">'[1]Master data Input'!$C$7</definedName>
    <definedName name="Address">'Master data Input'!$C$8</definedName>
    <definedName name="Advanced_Payment" localSheetId="13">'[1]Master data Input'!$F$11</definedName>
    <definedName name="Advanced_Payment" localSheetId="14">'[1]Master data Input'!$F$11</definedName>
    <definedName name="Advanced_Payment">'Master data Input'!$C$22</definedName>
    <definedName name="Agent" localSheetId="13">[1]Agent!$A$1:$A$29</definedName>
    <definedName name="Agent" localSheetId="14">[1]Agent!$A$1:$A$29</definedName>
    <definedName name="Agent">Agent!$A$1:$A$30</definedName>
    <definedName name="Agents" localSheetId="13">'[1]Master data Input'!$F$13</definedName>
    <definedName name="Agents" localSheetId="14">'[1]Master data Input'!$F$13</definedName>
    <definedName name="Agents">'Master data Input'!$F$14</definedName>
    <definedName name="Amount_of_Loan" localSheetId="8">'48 payments (computation)semi'!$B$42</definedName>
    <definedName name="Amount_of_Loan" localSheetId="13">'[1]Computation Sheet'!$B$43</definedName>
    <definedName name="Amount_of_Loan" localSheetId="3">'Monthly -client copy'!$A$41</definedName>
    <definedName name="Amount_of_Loan" localSheetId="14">'[1]Computation Sheet'!$B$43</definedName>
    <definedName name="Amount_of_Loan" localSheetId="7">'Semi Monthly'!$B$43</definedName>
    <definedName name="Amount_of_Loan" localSheetId="6">'Semi Monthly -client copy'!$A$41</definedName>
    <definedName name="Amount_of_Loan">'Semi Monthly 3 SL'!$B$43</definedName>
    <definedName name="Cash_Advance" localSheetId="13">'[1]Master data Input'!$E$11</definedName>
    <definedName name="Cash_Advance" localSheetId="14">'[1]Master data Input'!$E$11</definedName>
    <definedName name="Cash_Advance">'Master data Input'!$B$22</definedName>
    <definedName name="choice">'Parameter (2)'!$J$2:$J$3</definedName>
    <definedName name="Client_Name" localSheetId="13">'[1]Master data Input'!$C$5</definedName>
    <definedName name="Client_Name" localSheetId="14">'[1]Master data Input'!$C$5</definedName>
    <definedName name="Client_Name">'Master data Input'!$C$6</definedName>
    <definedName name="Contractual_Rate" localSheetId="13">'[1](New)Amort. Sched-Diminishing'!$C$27</definedName>
    <definedName name="Contractual_Rate" localSheetId="14">'[1](New)Amort. Sched-Diminishing'!$C$27</definedName>
    <definedName name="Contractual_Rate">'computation sheet'!$C$27</definedName>
    <definedName name="Date_Released" localSheetId="13">'[1]Master data Input'!$C$27</definedName>
    <definedName name="Date_Released" localSheetId="14">'[1]Master data Input'!$C$27</definedName>
    <definedName name="Date_Released">'Master data Input'!$C$28</definedName>
    <definedName name="Date_Released_SM">'Master data Input'!$K$6</definedName>
    <definedName name="Date_released2" localSheetId="8">'48 payments (computation)semi'!$M$13</definedName>
    <definedName name="Date_released2" localSheetId="13">'[1]Computation Sheet'!$M$14</definedName>
    <definedName name="Date_released2" localSheetId="3">'Monthly -client copy'!$M$10</definedName>
    <definedName name="Date_released2" localSheetId="14">'[1]Computation Sheet'!$M$14</definedName>
    <definedName name="Date_released2" localSheetId="7">'Semi Monthly'!$M$14</definedName>
    <definedName name="Date_released2" localSheetId="6">'Semi Monthly -client copy'!$M$10</definedName>
    <definedName name="Date_released2">'Semi Monthly 3 SL'!$M$14</definedName>
    <definedName name="Doc_fee" localSheetId="8">'48 payments (computation)semi'!$E$31</definedName>
    <definedName name="Doc_fee" localSheetId="3">'Monthly -client copy'!#REF!</definedName>
    <definedName name="Doc_fee" localSheetId="7">'Semi Monthly'!$E$32</definedName>
    <definedName name="Doc_fee" localSheetId="6">'Semi Monthly -client copy'!#REF!</definedName>
    <definedName name="Doc_fee">'Semi Monthly 3 SL'!$E$32</definedName>
    <definedName name="Docfee_Yes_or_No" localSheetId="13">'[1]Master data Input'!$C$43</definedName>
    <definedName name="Docfee_Yes_or_No" localSheetId="14">'[1]Master data Input'!$C$43</definedName>
    <definedName name="Docfee_Yes_or_No">'Master data Input'!$C$44</definedName>
    <definedName name="EIR" localSheetId="13">'[1](New)Amort. Sched-Diminishing'!$C$34</definedName>
    <definedName name="EIR" localSheetId="14">'[1](New)Amort. Sched-Diminishing'!$C$34</definedName>
    <definedName name="EIR" localSheetId="4">'Semi Monthly SL'!$C$34</definedName>
    <definedName name="EIR">'computation sheet'!$C$34</definedName>
    <definedName name="Express" localSheetId="13">'[1]Master data Input'!$C$15</definedName>
    <definedName name="Express" localSheetId="14">'[1]Master data Input'!$C$15</definedName>
    <definedName name="Express">'Master data Input'!$C$16</definedName>
    <definedName name="get_gross_amount" localSheetId="6">#REF!</definedName>
    <definedName name="get_gross_amount" localSheetId="4">#REF!</definedName>
    <definedName name="get_gross_amount">#REF!</definedName>
    <definedName name="get_gross_net_amount">'Get Gross (2)'!$D$3</definedName>
    <definedName name="get_gross_term">'Get Gross (2)'!$C$6</definedName>
    <definedName name="get_loan_amount">'Master data Input'!$B$10</definedName>
    <definedName name="Grace_Period_Interest" localSheetId="8">'48 payments (computation)semi'!$E$19</definedName>
    <definedName name="Grace_Period_Interest" localSheetId="13">'[1]Computation Sheet'!$E$20</definedName>
    <definedName name="Grace_Period_Interest" localSheetId="3">'Monthly -client copy'!$E$16</definedName>
    <definedName name="Grace_Period_Interest" localSheetId="14">'[1]Computation Sheet'!$E$20</definedName>
    <definedName name="Grace_Period_Interest" localSheetId="7">'Semi Monthly'!$E$20</definedName>
    <definedName name="Grace_Period_Interest" localSheetId="6">'Semi Monthly -client copy'!$E$16</definedName>
    <definedName name="Grace_Period_Interest">'Semi Monthly 3 SL'!$E$20</definedName>
    <definedName name="Installment_Type" localSheetId="13">'[1]Master data Input'!$C$19</definedName>
    <definedName name="Installment_Type" localSheetId="14">'[1]Master data Input'!$C$19</definedName>
    <definedName name="Installment_Type">'Master data Input'!$C$20</definedName>
    <definedName name="Installment_Type_SM">'Master data Input'!$I$2</definedName>
    <definedName name="Insurance" localSheetId="13">'[1]Master data Input'!$C$41</definedName>
    <definedName name="Insurance" localSheetId="14">'[1]Master data Input'!$C$41</definedName>
    <definedName name="Insurance">'Master data Input'!$C$42</definedName>
    <definedName name="Interest" localSheetId="13">'[1]Master data Input'!$C$23</definedName>
    <definedName name="Interest" localSheetId="14">'[1]Master data Input'!$C$23</definedName>
    <definedName name="Interest">'Master data Input'!$C$24</definedName>
    <definedName name="Interest_Deminishing" localSheetId="4">'Semi Monthly SL'!$L$14</definedName>
    <definedName name="Interest_Deminishing">'computation sheet'!$L$14</definedName>
    <definedName name="Interest_new" localSheetId="4">'Semi Monthly SL'!$A$9</definedName>
    <definedName name="Interest_new">'computation sheet'!$A$9</definedName>
    <definedName name="Loan_Amount" localSheetId="13">'[1]Master data Input'!$C$9</definedName>
    <definedName name="Loan_Amount" localSheetId="14">'[1]Master data Input'!$C$9</definedName>
    <definedName name="Loan_Amount">'Master data Input'!$C$10</definedName>
    <definedName name="Maturitydate" localSheetId="8">'48 payments (computation)semi'!$I$11</definedName>
    <definedName name="Maturitydate" localSheetId="2">'computation sheet'!$I$12</definedName>
    <definedName name="Maturitydate" localSheetId="3">'Monthly -client copy'!$I$8</definedName>
    <definedName name="Maturitydate" localSheetId="7">'Semi Monthly'!$I$12</definedName>
    <definedName name="Maturitydate" localSheetId="5">'Semi Monthly 3 SL'!$I$12</definedName>
    <definedName name="Maturitydate" localSheetId="6">'Semi Monthly -client copy'!$I$8</definedName>
    <definedName name="Maturitydate" localSheetId="4">'Semi Monthly SL'!$I$12</definedName>
    <definedName name="MaturityDate_data_input" localSheetId="13">'[1]Master data Input'!$F$33</definedName>
    <definedName name="MaturityDate_data_input" localSheetId="14">'[1]Master data Input'!$F$33</definedName>
    <definedName name="MaturityDate_data_input">'Master data Input'!$F$30</definedName>
    <definedName name="Maturitydate_SM">'Master data Input'!$K$14</definedName>
    <definedName name="MaturityDate1" localSheetId="8">'48 payments (computation)semi'!$M$11</definedName>
    <definedName name="MaturityDate1" localSheetId="3">'Monthly -client copy'!$M$8</definedName>
    <definedName name="MaturityDate1" localSheetId="7">'Semi Monthly'!$M$12</definedName>
    <definedName name="MaturityDate1" localSheetId="5">'Semi Monthly 3 SL'!$M$12</definedName>
    <definedName name="MaturityDate1" localSheetId="6">'Semi Monthly -client copy'!$M$8</definedName>
    <definedName name="MIR" localSheetId="13">'[1](New)Amort. Sched-Diminishing'!$C$35</definedName>
    <definedName name="MIR" localSheetId="14">'[1](New)Amort. Sched-Diminishing'!$C$35</definedName>
    <definedName name="MIR" localSheetId="4">'Semi Monthly SL'!$C$35</definedName>
    <definedName name="MIR">'computation sheet'!$C$35</definedName>
    <definedName name="Monthly_Inst" localSheetId="13">'[1](New)Amort. Sched-Diminishing'!$C$28</definedName>
    <definedName name="Monthly_Inst" localSheetId="14">'[1](New)Amort. Sched-Diminishing'!$C$28</definedName>
    <definedName name="Monthly_Inst" localSheetId="4">'Semi Monthly SL'!$C$28</definedName>
    <definedName name="Monthly_Inst">'computation sheet'!$C$28</definedName>
    <definedName name="Mpayment_deminishing">'computation sheet'!$C$29</definedName>
    <definedName name="name" localSheetId="8">'48 payments (computation)semi'!$B$44:$B$54</definedName>
    <definedName name="name" localSheetId="3">'Monthly -client copy'!$A$46:$A$56</definedName>
    <definedName name="name" localSheetId="7">'Semi Monthly'!$B$45:$B$55</definedName>
    <definedName name="name" localSheetId="6">'Semi Monthly -client copy'!$A$46:$A$56</definedName>
    <definedName name="name">'Semi Monthly 3 SL'!$B$45:$B$55</definedName>
    <definedName name="Notarial_Fee" localSheetId="13">'[1]Master data Input'!$C$37</definedName>
    <definedName name="Notarial_Fee" localSheetId="14">'[1]Master data Input'!$C$37</definedName>
    <definedName name="Notarial_Fee">'Master data Input'!$C$38</definedName>
    <definedName name="Number_of_Amortization" localSheetId="13">'[1]Master data Input'!$C$33</definedName>
    <definedName name="Number_of_Amortization" localSheetId="14">'[1]Master data Input'!$C$33</definedName>
    <definedName name="Number_of_Amortization">'Master data Input'!$C$34</definedName>
    <definedName name="OR_NAME" localSheetId="13">'[1]Master data Input'!$E$5</definedName>
    <definedName name="OR_NAME" localSheetId="14">'[1]Master data Input'!$E$5</definedName>
    <definedName name="OR_NAME">'Master data Input'!$E$6</definedName>
    <definedName name="Outstanding_Balance_from_previous_loan" localSheetId="13">'[1]Master data Input'!$C$11</definedName>
    <definedName name="Outstanding_Balance_from_previous_loan" localSheetId="14">'[1]Master data Input'!$C$11</definedName>
    <definedName name="Outstanding_Balance_from_previous_loan">'Master data Input'!$C$12</definedName>
    <definedName name="para_add_amf_others">'Parameter (2)'!$H$3</definedName>
    <definedName name="para_add_AMF_reg">parameter!$D$3</definedName>
    <definedName name="para_add_doc">'Parameter (2)'!$C$3</definedName>
    <definedName name="para_add_docfee">parameter!$E$3</definedName>
    <definedName name="para_add_mlri" localSheetId="13">'Parameter (2)'!$A$3</definedName>
    <definedName name="para_add_mlri" localSheetId="14">'Parameter (2)'!$A$3</definedName>
    <definedName name="para_add_mlri">parameter!$C$3</definedName>
    <definedName name="para_add_notarial">'Parameter (2)'!$B$3</definedName>
    <definedName name="para_add_totalob">'Parameter (2)'!$G$3</definedName>
    <definedName name="para_amf">parameter!$G$3</definedName>
    <definedName name="para_blsa_amf">'Parameter (2)'!$D$3</definedName>
    <definedName name="para_notarial">parameter!$I$3</definedName>
    <definedName name="para_percent_AMF">parameter!$H$3</definedName>
    <definedName name="Percent_Interest" localSheetId="8">'48 payments (computation)semi'!$B$19</definedName>
    <definedName name="Percent_Interest" localSheetId="3">'Monthly -client copy'!$B$16</definedName>
    <definedName name="Percent_Interest" localSheetId="7">'Semi Monthly'!$B$20</definedName>
    <definedName name="Percent_Interest" localSheetId="6">'Semi Monthly -client copy'!$B$16</definedName>
    <definedName name="Percent_Interest">'Semi Monthly 3 SL'!$B$20</definedName>
    <definedName name="Percent_processingfee" localSheetId="8">'48 payments (computation)semi'!$C$20</definedName>
    <definedName name="Percent_processingfee" localSheetId="3">'Monthly -client copy'!$C$17</definedName>
    <definedName name="Percent_processingfee" localSheetId="7">'Semi Monthly'!$C$21</definedName>
    <definedName name="Percent_processingfee" localSheetId="6">'Semi Monthly -client copy'!$C$17</definedName>
    <definedName name="Percent_processingfee">'Semi Monthly 3 SL'!$C$21</definedName>
    <definedName name="PERIOD" localSheetId="8">'48 payments (computation)semi'!$B$44:$B$91</definedName>
    <definedName name="PERIOD" localSheetId="13">'[1]Computation Sheet'!$B$45:$B$69</definedName>
    <definedName name="PERIOD" localSheetId="3">'Monthly -client copy'!$A$46:$A$66</definedName>
    <definedName name="PERIOD" localSheetId="14">'[1]Computation Sheet'!$B$45:$B$69</definedName>
    <definedName name="PERIOD" localSheetId="7">'Semi Monthly'!$B$45:$B$69</definedName>
    <definedName name="PERIOD" localSheetId="6">'Semi Monthly -client copy'!$A$46:$A$60</definedName>
    <definedName name="PERIOD">'Semi Monthly 3 SL'!$B$45:$B$69</definedName>
    <definedName name="period2" localSheetId="13">'[1](New)Amort. Sched-Diminishing'!$A$41:$A$59</definedName>
    <definedName name="period2" localSheetId="14">'[1](New)Amort. Sched-Diminishing'!$A$41:$A$59</definedName>
    <definedName name="period2" localSheetId="4">'Semi Monthly SL'!$A$41:$A$59</definedName>
    <definedName name="period2">'computation sheet'!$A$41:$A$59</definedName>
    <definedName name="PN_no." localSheetId="13">'[1]Master data Input'!$F$9</definedName>
    <definedName name="PN_no." localSheetId="14">'[1]Master data Input'!$F$9</definedName>
    <definedName name="PN_no.">'Master data Input'!$F$10</definedName>
    <definedName name="Principal_Amount" localSheetId="8">'48 payments (computation)semi'!$F$16</definedName>
    <definedName name="Principal_Amount" localSheetId="13">'[1]Computation Sheet'!$F$17</definedName>
    <definedName name="Principal_Amount" localSheetId="3">'Monthly -client copy'!$F$13</definedName>
    <definedName name="Principal_Amount" localSheetId="14">'[1]Computation Sheet'!$F$17</definedName>
    <definedName name="Principal_Amount" localSheetId="7">'Semi Monthly'!$F$17</definedName>
    <definedName name="Principal_Amount" localSheetId="6">'Semi Monthly -client copy'!$F$13</definedName>
    <definedName name="Principal_Amount">'Semi Monthly 3 SL'!$F$17</definedName>
    <definedName name="_xlnm.Print_Area" localSheetId="8">'48 payments (computation)semi'!$A$1:$I$103</definedName>
    <definedName name="_xlnm.Print_Area" localSheetId="2">'computation sheet'!$A$1:$I$76</definedName>
    <definedName name="_xlnm.Print_Area" localSheetId="1">'Master data Input'!$A$1:$G$48</definedName>
    <definedName name="_xlnm.Print_Area" localSheetId="0">MENU!$T$33:$U$35</definedName>
    <definedName name="_xlnm.Print_Area" localSheetId="3">'Monthly -client copy'!$A$1:$I$88</definedName>
    <definedName name="_xlnm.Print_Area" localSheetId="7">'Semi Monthly'!$A$1:$I$81</definedName>
    <definedName name="_xlnm.Print_Area" localSheetId="5">'Semi Monthly 3 SL'!$A$1:$I$81</definedName>
    <definedName name="_xlnm.Print_Area" localSheetId="6">'Semi Monthly -client copy'!$A$1:$I$82</definedName>
    <definedName name="_xlnm.Print_Area" localSheetId="4">'Semi Monthly SL'!$A$1:$I$76</definedName>
    <definedName name="Processing_fee" localSheetId="8">'48 payments (computation)semi'!$E$20</definedName>
    <definedName name="Processing_fee" localSheetId="3">'Monthly -client copy'!$E$17</definedName>
    <definedName name="Processing_fee" localSheetId="7">'Semi Monthly'!$E$21</definedName>
    <definedName name="Processing_fee" localSheetId="6">'Semi Monthly -client copy'!$E$17</definedName>
    <definedName name="Processing_fee">'Semi Monthly 3 SL'!$E$21</definedName>
    <definedName name="Processing_Fee_in_Percentage" localSheetId="13">'[1]Master data Input'!$C$25</definedName>
    <definedName name="Processing_Fee_in_Percentage" localSheetId="14">'[1]Master data Input'!$C$25</definedName>
    <definedName name="Processing_Fee_in_Percentage">'Master data Input'!$C$26</definedName>
    <definedName name="Referal_fee">'Master data Input'!$F$16</definedName>
    <definedName name="Renewal" localSheetId="13">'[1]Master data Input'!$C$17</definedName>
    <definedName name="Renewal" localSheetId="14">'[1]Master data Input'!$C$17</definedName>
    <definedName name="Renewal">'Master data Input'!$C$18</definedName>
    <definedName name="selection">parameter!$A$1:$A$2</definedName>
    <definedName name="Semi_Monthly_SM">'Master data Input'!$K$16</definedName>
    <definedName name="Start_Payment" localSheetId="13">'[1]Master data Input'!$C$29</definedName>
    <definedName name="Start_Payment" localSheetId="14">'[1]Master data Input'!$C$29</definedName>
    <definedName name="Start_Payment">'Master data Input'!$C$30</definedName>
    <definedName name="Start_Payment_SM">'Master data Input'!$K$8</definedName>
    <definedName name="Term_masterdatainput" localSheetId="13">'[1]Master data Input'!$C$31</definedName>
    <definedName name="Term_masterdatainput" localSheetId="14">'[1]Master data Input'!$C$31</definedName>
    <definedName name="Term_masterdatainput">'Master data Input'!$C$32</definedName>
    <definedName name="Terms" localSheetId="8">'48 payments (computation)semi'!$I$9</definedName>
    <definedName name="Terms" localSheetId="3">'Monthly -client copy'!$I$6</definedName>
    <definedName name="Terms" localSheetId="7">'Semi Monthly'!$I$10</definedName>
    <definedName name="Terms" localSheetId="5">'Semi Monthly 3 SL'!$I$10</definedName>
    <definedName name="Terms" localSheetId="6">'Semi Monthly -client copy'!$I$6</definedName>
    <definedName name="Total_Deduction" localSheetId="8">'48 payments (computation)semi'!$F$32</definedName>
    <definedName name="Total_Deduction" localSheetId="13">'[1]Computation Sheet'!$F$33</definedName>
    <definedName name="Total_Deduction" localSheetId="3">'Monthly -client copy'!$F$28</definedName>
    <definedName name="Total_Deduction" localSheetId="14">'[1]Computation Sheet'!$F$33</definedName>
    <definedName name="Total_Deduction" localSheetId="7">'Semi Monthly'!$F$33</definedName>
    <definedName name="Total_Deduction" localSheetId="6">'Semi Monthly -client copy'!$F$28</definedName>
    <definedName name="Total_Deduction">'Semi Monthly 3 SL'!$F$33</definedName>
    <definedName name="Total_Finance_Charge" localSheetId="8">'48 payments (computation)semi'!$E$26</definedName>
    <definedName name="Total_Finance_Charge" localSheetId="13">'[1]Computation Sheet'!$E$27</definedName>
    <definedName name="Total_Finance_Charge" localSheetId="3">'Monthly -client copy'!$E$23</definedName>
    <definedName name="Total_Finance_Charge" localSheetId="14">'[1]Computation Sheet'!$E$27</definedName>
    <definedName name="Total_Finance_Charge" localSheetId="7">'Semi Monthly'!$E$27</definedName>
    <definedName name="Total_Finance_Charge" localSheetId="6">'Semi Monthly -client copy'!$E$23</definedName>
    <definedName name="Total_Finance_Charge">'Semi Monthly 3 SL'!$E$27</definedName>
    <definedName name="Total_InterestRate" localSheetId="13">'[1](New)Amort. Sched-Diminishing'!$C$37</definedName>
    <definedName name="Total_InterestRate" localSheetId="14">'[1](New)Amort. Sched-Diminishing'!$C$37</definedName>
    <definedName name="Total_InterestRate">'computation sheet'!$C$37</definedName>
    <definedName name="Total_UII" localSheetId="8">'48 payments (computation)semi'!$D$42</definedName>
    <definedName name="Total_UII" localSheetId="13">'[1]Computation Sheet'!$D$43</definedName>
    <definedName name="Total_UII" localSheetId="3">'Monthly -client copy'!$C$41</definedName>
    <definedName name="Total_UII" localSheetId="14">'[1]Computation Sheet'!$D$43</definedName>
    <definedName name="Total_UII" localSheetId="7">'Semi Monthly'!$D$43</definedName>
    <definedName name="Total_UII" localSheetId="6">'Semi Monthly -client copy'!$C$41</definedName>
    <definedName name="Total_UII">'Semi Monthly 3 SL'!$D$43</definedName>
    <definedName name="totalOB">'Get Gross (2)'!$D$23</definedName>
    <definedName name="Type_of_Loan" localSheetId="13">'[1]Master data Input'!$C$13</definedName>
    <definedName name="Type_of_Loan" localSheetId="14">'[1]Master data Input'!$C$13</definedName>
    <definedName name="Type_of_Loan">'Master data Input'!$C$14</definedName>
    <definedName name="upfront">'Master data Input'!$K$22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5" i="19" l="1"/>
  <c r="F13" i="22" s="1"/>
  <c r="E26" i="22"/>
  <c r="C28" i="19"/>
  <c r="I6" i="28"/>
  <c r="L4" i="28" s="1"/>
  <c r="M5" i="19" l="1"/>
  <c r="I16" i="28"/>
  <c r="I15" i="28"/>
  <c r="I16" i="22"/>
  <c r="I15" i="22"/>
  <c r="G8" i="19"/>
  <c r="G7" i="19"/>
  <c r="I17" i="28"/>
  <c r="F5" i="19"/>
  <c r="I10" i="1"/>
  <c r="H9" i="22"/>
  <c r="I6" i="22"/>
  <c r="H4" i="29" l="1"/>
  <c r="F4" i="29"/>
  <c r="C27" i="29" l="1"/>
  <c r="N46" i="28"/>
  <c r="C28" i="29"/>
  <c r="M32" i="29"/>
  <c r="L32" i="29"/>
  <c r="F5" i="29"/>
  <c r="D27" i="29"/>
  <c r="C25" i="29"/>
  <c r="D23" i="29"/>
  <c r="F19" i="29"/>
  <c r="G18" i="29"/>
  <c r="C17" i="29"/>
  <c r="G16" i="29"/>
  <c r="C16" i="29"/>
  <c r="A16" i="29"/>
  <c r="C15" i="29"/>
  <c r="A15" i="29"/>
  <c r="G14" i="29"/>
  <c r="C14" i="29"/>
  <c r="A14" i="29"/>
  <c r="L13" i="29"/>
  <c r="C13" i="29"/>
  <c r="C12" i="29"/>
  <c r="G11" i="29"/>
  <c r="C11" i="29"/>
  <c r="B10" i="29"/>
  <c r="G8" i="29"/>
  <c r="G7" i="29" s="1"/>
  <c r="D5" i="29"/>
  <c r="C26" i="29" s="1"/>
  <c r="I8" i="28"/>
  <c r="H8" i="28"/>
  <c r="H9" i="28"/>
  <c r="A61" i="28" s="1"/>
  <c r="L46" i="28"/>
  <c r="K46" i="28" s="1"/>
  <c r="I45" i="28"/>
  <c r="I44" i="28"/>
  <c r="C44" i="28"/>
  <c r="X40" i="28"/>
  <c r="H37" i="28"/>
  <c r="I36" i="28"/>
  <c r="F34" i="28"/>
  <c r="F33" i="28"/>
  <c r="I29" i="28"/>
  <c r="E27" i="28"/>
  <c r="A27" i="28"/>
  <c r="E26" i="28"/>
  <c r="A26" i="28"/>
  <c r="X25" i="28"/>
  <c r="H25" i="28"/>
  <c r="H23" i="28"/>
  <c r="E22" i="28"/>
  <c r="A22" i="28"/>
  <c r="E21" i="28"/>
  <c r="A21" i="28"/>
  <c r="E20" i="28"/>
  <c r="E19" i="28"/>
  <c r="E18" i="28"/>
  <c r="C17" i="28"/>
  <c r="B16" i="28"/>
  <c r="F13" i="28"/>
  <c r="F6" i="28"/>
  <c r="C6" i="28"/>
  <c r="A6" i="28"/>
  <c r="A4" i="28"/>
  <c r="E24" i="1"/>
  <c r="E19" i="22"/>
  <c r="C12" i="19"/>
  <c r="G34" i="2"/>
  <c r="C8" i="26"/>
  <c r="C9" i="26"/>
  <c r="C10" i="26"/>
  <c r="C11" i="26"/>
  <c r="D18" i="26"/>
  <c r="E22" i="1"/>
  <c r="N78" i="24"/>
  <c r="N39" i="24"/>
  <c r="N77" i="24"/>
  <c r="N38" i="24"/>
  <c r="N76" i="24"/>
  <c r="N37" i="24"/>
  <c r="N75" i="24"/>
  <c r="N36" i="24"/>
  <c r="N74" i="24"/>
  <c r="N35" i="24"/>
  <c r="N73" i="24"/>
  <c r="N34" i="24"/>
  <c r="N72" i="24"/>
  <c r="N33" i="24"/>
  <c r="N71" i="24"/>
  <c r="N32" i="24"/>
  <c r="N70" i="24"/>
  <c r="N31" i="24"/>
  <c r="N69" i="24"/>
  <c r="N30" i="24"/>
  <c r="N68" i="24"/>
  <c r="N29" i="24"/>
  <c r="N67" i="24"/>
  <c r="N28" i="24"/>
  <c r="N65" i="24"/>
  <c r="N26" i="24"/>
  <c r="N64" i="24"/>
  <c r="N25" i="24"/>
  <c r="N63" i="24"/>
  <c r="N24" i="24"/>
  <c r="N62" i="24"/>
  <c r="N23" i="24"/>
  <c r="N61" i="24"/>
  <c r="N22" i="24"/>
  <c r="N60" i="24"/>
  <c r="N21" i="24"/>
  <c r="N59" i="24"/>
  <c r="N20" i="24"/>
  <c r="N58" i="24"/>
  <c r="N19" i="24"/>
  <c r="N57" i="24"/>
  <c r="N18" i="24"/>
  <c r="N56" i="24"/>
  <c r="N17" i="24"/>
  <c r="N55" i="24"/>
  <c r="N16" i="24"/>
  <c r="N54" i="24"/>
  <c r="N15" i="24"/>
  <c r="N52" i="24"/>
  <c r="N13" i="24"/>
  <c r="N51" i="24"/>
  <c r="N12" i="24"/>
  <c r="N50" i="24"/>
  <c r="N11" i="24"/>
  <c r="N49" i="24"/>
  <c r="N10" i="24"/>
  <c r="N48" i="24"/>
  <c r="N9" i="24"/>
  <c r="N47" i="24"/>
  <c r="N8" i="24"/>
  <c r="N46" i="24"/>
  <c r="N7" i="24"/>
  <c r="N45" i="24"/>
  <c r="N6" i="24"/>
  <c r="N44" i="24"/>
  <c r="N5" i="24"/>
  <c r="N43" i="24"/>
  <c r="N4" i="24"/>
  <c r="N42" i="24"/>
  <c r="N3" i="24"/>
  <c r="N41" i="24"/>
  <c r="N2" i="24"/>
  <c r="E25" i="1"/>
  <c r="A41" i="28" l="1"/>
  <c r="K4" i="28"/>
  <c r="C20" i="28" s="1"/>
  <c r="A43" i="29"/>
  <c r="A44" i="29" s="1"/>
  <c r="B44" i="29" s="1"/>
  <c r="G13" i="1"/>
  <c r="H5" i="29"/>
  <c r="B42" i="29"/>
  <c r="H40" i="29"/>
  <c r="H41" i="29"/>
  <c r="C40" i="29"/>
  <c r="C10" i="29"/>
  <c r="E17" i="28"/>
  <c r="A47" i="28"/>
  <c r="D16" i="26"/>
  <c r="D17" i="26" s="1"/>
  <c r="D20" i="26" s="1"/>
  <c r="D23" i="26" s="1"/>
  <c r="E23" i="1"/>
  <c r="F28" i="2"/>
  <c r="E28" i="2"/>
  <c r="B43" i="29" l="1"/>
  <c r="A45" i="29"/>
  <c r="B45" i="29" s="1"/>
  <c r="M8" i="28"/>
  <c r="L23" i="28" s="1"/>
  <c r="A48" i="28"/>
  <c r="M32" i="19"/>
  <c r="L32" i="19"/>
  <c r="L16" i="28" l="1"/>
  <c r="A46" i="29"/>
  <c r="B46" i="29" s="1"/>
  <c r="J41" i="28"/>
  <c r="L47" i="28" s="1"/>
  <c r="K47" i="28" s="1"/>
  <c r="J6" i="28"/>
  <c r="O8" i="28"/>
  <c r="A49" i="28"/>
  <c r="B42" i="19"/>
  <c r="B46" i="22"/>
  <c r="E30" i="1"/>
  <c r="E29" i="1"/>
  <c r="A29" i="1"/>
  <c r="A25" i="1"/>
  <c r="E29" i="15"/>
  <c r="A29" i="15"/>
  <c r="E30" i="15"/>
  <c r="A25" i="15"/>
  <c r="E30" i="17"/>
  <c r="E29" i="17"/>
  <c r="A29" i="17"/>
  <c r="A24" i="17"/>
  <c r="C15" i="19"/>
  <c r="A15" i="19"/>
  <c r="A14" i="19"/>
  <c r="A26" i="22"/>
  <c r="A21" i="22"/>
  <c r="E26" i="15"/>
  <c r="A26" i="15"/>
  <c r="E25" i="17"/>
  <c r="A25" i="17"/>
  <c r="C16" i="19"/>
  <c r="A16" i="19"/>
  <c r="E22" i="22"/>
  <c r="A22" i="22"/>
  <c r="E26" i="1"/>
  <c r="A26" i="1"/>
  <c r="A47" i="29" l="1"/>
  <c r="B47" i="29" s="1"/>
  <c r="U23" i="28"/>
  <c r="M10" i="28" s="1"/>
  <c r="L48" i="28"/>
  <c r="K48" i="28" s="1"/>
  <c r="A50" i="28"/>
  <c r="F17" i="1"/>
  <c r="E18" i="22"/>
  <c r="E23" i="17"/>
  <c r="E22" i="17"/>
  <c r="A9" i="17"/>
  <c r="A10" i="15"/>
  <c r="E24" i="15"/>
  <c r="E23" i="15"/>
  <c r="A10" i="1"/>
  <c r="C44" i="22"/>
  <c r="I45" i="22"/>
  <c r="I44" i="22"/>
  <c r="G10" i="17"/>
  <c r="B19" i="17"/>
  <c r="B20" i="15"/>
  <c r="G11" i="15"/>
  <c r="G11" i="1"/>
  <c r="L46" i="22"/>
  <c r="X40" i="22"/>
  <c r="H37" i="22"/>
  <c r="I36" i="22"/>
  <c r="F34" i="22"/>
  <c r="F33" i="22"/>
  <c r="I29" i="22"/>
  <c r="E27" i="22"/>
  <c r="A27" i="22"/>
  <c r="X25" i="22"/>
  <c r="H25" i="22"/>
  <c r="H23" i="22"/>
  <c r="E20" i="22"/>
  <c r="I17" i="22"/>
  <c r="C17" i="22"/>
  <c r="B16" i="22"/>
  <c r="H8" i="22"/>
  <c r="F6" i="22"/>
  <c r="C6" i="22"/>
  <c r="A6" i="22"/>
  <c r="A4" i="22"/>
  <c r="G14" i="19"/>
  <c r="G16" i="19"/>
  <c r="B10" i="19"/>
  <c r="D23" i="19"/>
  <c r="F4" i="19"/>
  <c r="L13" i="19"/>
  <c r="B20" i="1"/>
  <c r="A43" i="19"/>
  <c r="F19" i="19"/>
  <c r="G18" i="19"/>
  <c r="G11" i="19"/>
  <c r="G10" i="19"/>
  <c r="C17" i="19"/>
  <c r="C13" i="19"/>
  <c r="C25" i="19"/>
  <c r="D27" i="19"/>
  <c r="C9" i="17"/>
  <c r="A7" i="17"/>
  <c r="C10" i="15"/>
  <c r="A8" i="15"/>
  <c r="A8" i="1"/>
  <c r="C10" i="1"/>
  <c r="A11" i="17"/>
  <c r="A12" i="15"/>
  <c r="A12" i="1"/>
  <c r="I32" i="17"/>
  <c r="I33" i="15"/>
  <c r="I33" i="1"/>
  <c r="C44" i="17"/>
  <c r="U26" i="17" s="1"/>
  <c r="C45" i="15"/>
  <c r="E58" i="17"/>
  <c r="G55" i="17"/>
  <c r="Y44" i="17"/>
  <c r="X44" i="17" s="1"/>
  <c r="Y41" i="17"/>
  <c r="H38" i="17"/>
  <c r="I37" i="17"/>
  <c r="X28" i="17"/>
  <c r="H27" i="17"/>
  <c r="E21" i="17"/>
  <c r="I20" i="17"/>
  <c r="C20" i="17"/>
  <c r="I19" i="17"/>
  <c r="I18" i="17" s="1"/>
  <c r="F16" i="17"/>
  <c r="B42" i="17" s="1"/>
  <c r="G12" i="17"/>
  <c r="B45" i="17" s="1"/>
  <c r="H11" i="17"/>
  <c r="F9" i="17"/>
  <c r="E59" i="15"/>
  <c r="G56" i="15"/>
  <c r="Y45" i="15"/>
  <c r="X45" i="15" s="1"/>
  <c r="Y42" i="15"/>
  <c r="H39" i="15"/>
  <c r="I38" i="15"/>
  <c r="X29" i="15"/>
  <c r="H28" i="15"/>
  <c r="E22" i="15"/>
  <c r="I21" i="15"/>
  <c r="C21" i="15"/>
  <c r="I20" i="15"/>
  <c r="I19" i="15" s="1"/>
  <c r="F17" i="15"/>
  <c r="E21" i="15" s="1"/>
  <c r="G13" i="15"/>
  <c r="B70" i="15" s="1"/>
  <c r="H12" i="15"/>
  <c r="F10" i="15"/>
  <c r="I21" i="1"/>
  <c r="C21" i="1"/>
  <c r="B70" i="1"/>
  <c r="I38" i="1"/>
  <c r="H12" i="1"/>
  <c r="F10" i="1"/>
  <c r="H39" i="1"/>
  <c r="L45" i="1"/>
  <c r="H28" i="1"/>
  <c r="Z42" i="1"/>
  <c r="I20" i="1"/>
  <c r="I19" i="1" s="1"/>
  <c r="X29" i="1"/>
  <c r="F37" i="1" l="1"/>
  <c r="B43" i="19"/>
  <c r="A48" i="29"/>
  <c r="B48" i="29" s="1"/>
  <c r="C51" i="1" s="1"/>
  <c r="L22" i="28"/>
  <c r="C16" i="28"/>
  <c r="L17" i="28"/>
  <c r="L26" i="28"/>
  <c r="L49" i="28"/>
  <c r="K49" i="28" s="1"/>
  <c r="A51" i="28"/>
  <c r="E21" i="1"/>
  <c r="E17" i="22"/>
  <c r="C10" i="19"/>
  <c r="C26" i="19"/>
  <c r="C29" i="19" s="1"/>
  <c r="K46" i="22"/>
  <c r="H5" i="19"/>
  <c r="A41" i="22"/>
  <c r="U23" i="22"/>
  <c r="M10" i="22" s="1"/>
  <c r="C9" i="19" s="1"/>
  <c r="E16" i="22" s="1"/>
  <c r="B1" i="3"/>
  <c r="B2" i="3" s="1"/>
  <c r="B3" i="3" s="1"/>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43" i="15"/>
  <c r="B46" i="1"/>
  <c r="E20" i="17"/>
  <c r="B46" i="15"/>
  <c r="B47" i="15" s="1"/>
  <c r="B48" i="15" s="1"/>
  <c r="B49" i="15" s="1"/>
  <c r="C49" i="15" s="1"/>
  <c r="K42" i="17"/>
  <c r="Y45" i="17" s="1"/>
  <c r="X45" i="17" s="1"/>
  <c r="M13" i="17"/>
  <c r="C19" i="17" s="1"/>
  <c r="C45" i="17"/>
  <c r="B92" i="17"/>
  <c r="L20" i="15"/>
  <c r="L19" i="17"/>
  <c r="A44" i="19"/>
  <c r="K45" i="1"/>
  <c r="B46" i="17"/>
  <c r="U27" i="15"/>
  <c r="M14" i="15" s="1"/>
  <c r="K43" i="15"/>
  <c r="A67" i="22"/>
  <c r="D46" i="22" s="1"/>
  <c r="A47" i="22"/>
  <c r="B47" i="22" s="1"/>
  <c r="M11" i="17"/>
  <c r="I11" i="17"/>
  <c r="I9" i="17" s="1"/>
  <c r="H4" i="19"/>
  <c r="I12" i="15"/>
  <c r="I10" i="15" s="1"/>
  <c r="I8" i="22"/>
  <c r="I12" i="1"/>
  <c r="M8" i="22"/>
  <c r="M12" i="15"/>
  <c r="M12" i="1"/>
  <c r="E16" i="28" l="1"/>
  <c r="E23" i="28" s="1"/>
  <c r="F28" i="28" s="1"/>
  <c r="A9" i="19"/>
  <c r="B44" i="19"/>
  <c r="A49" i="29"/>
  <c r="B49" i="29" s="1"/>
  <c r="C52" i="1" s="1"/>
  <c r="P25" i="28"/>
  <c r="L50" i="28"/>
  <c r="K50" i="28" s="1"/>
  <c r="A52" i="28"/>
  <c r="C40" i="19"/>
  <c r="H41" i="19"/>
  <c r="G42" i="19" s="1"/>
  <c r="E42" i="19" s="1"/>
  <c r="H40" i="19"/>
  <c r="B47" i="1"/>
  <c r="L20" i="17"/>
  <c r="E19" i="17"/>
  <c r="L29" i="17"/>
  <c r="C16" i="22"/>
  <c r="L17" i="22"/>
  <c r="J41" i="22"/>
  <c r="L47" i="22" s="1"/>
  <c r="K47" i="22" s="1"/>
  <c r="L26" i="22"/>
  <c r="L16" i="22"/>
  <c r="Y46" i="15"/>
  <c r="X46" i="15" s="1"/>
  <c r="B50" i="15"/>
  <c r="B51" i="15" s="1"/>
  <c r="C46" i="15"/>
  <c r="D47" i="22"/>
  <c r="A48" i="22"/>
  <c r="B48" i="22" s="1"/>
  <c r="L30" i="15"/>
  <c r="E20" i="15"/>
  <c r="C20" i="15"/>
  <c r="C46" i="17"/>
  <c r="Y46" i="17"/>
  <c r="X46" i="17" s="1"/>
  <c r="B47" i="17"/>
  <c r="A45" i="19"/>
  <c r="U27" i="1"/>
  <c r="M14" i="1" s="1"/>
  <c r="C9" i="29" s="1"/>
  <c r="L43" i="1"/>
  <c r="L46" i="1" s="1"/>
  <c r="L20" i="1"/>
  <c r="L21" i="15"/>
  <c r="L27" i="15"/>
  <c r="D43" i="15"/>
  <c r="L26" i="15"/>
  <c r="J10" i="1"/>
  <c r="O12" i="1"/>
  <c r="L26" i="17"/>
  <c r="L25" i="17"/>
  <c r="D42" i="17"/>
  <c r="L27" i="1"/>
  <c r="L23" i="22"/>
  <c r="L22" i="22"/>
  <c r="J10" i="15"/>
  <c r="O12" i="15"/>
  <c r="J9" i="17"/>
  <c r="O11" i="17"/>
  <c r="E46" i="22" l="1"/>
  <c r="D42" i="19"/>
  <c r="F32" i="28"/>
  <c r="B45" i="19"/>
  <c r="N9" i="29"/>
  <c r="A9" i="29"/>
  <c r="K9" i="29"/>
  <c r="D18" i="29"/>
  <c r="A50" i="29"/>
  <c r="B50" i="29" s="1"/>
  <c r="C53" i="1" s="1"/>
  <c r="L51" i="28"/>
  <c r="K51" i="28" s="1"/>
  <c r="G45" i="28"/>
  <c r="F30" i="28"/>
  <c r="A53" i="28"/>
  <c r="E20" i="1"/>
  <c r="L26" i="1"/>
  <c r="B48" i="1"/>
  <c r="C50" i="15"/>
  <c r="C51" i="15" s="1"/>
  <c r="Y47" i="15"/>
  <c r="X47" i="15" s="1"/>
  <c r="S50" i="15"/>
  <c r="P28" i="17"/>
  <c r="P25" i="22"/>
  <c r="P29" i="15"/>
  <c r="L30" i="1"/>
  <c r="K9" i="19"/>
  <c r="C20" i="1"/>
  <c r="L21" i="1"/>
  <c r="N9" i="19"/>
  <c r="A46" i="19"/>
  <c r="S51" i="15"/>
  <c r="B52" i="15"/>
  <c r="K46" i="1"/>
  <c r="L47" i="1"/>
  <c r="B48" i="17"/>
  <c r="S48" i="17" s="1"/>
  <c r="C47" i="17"/>
  <c r="Y47" i="17"/>
  <c r="X47" i="17" s="1"/>
  <c r="A49" i="22"/>
  <c r="B49" i="22" s="1"/>
  <c r="D48" i="22"/>
  <c r="L48" i="22"/>
  <c r="K48" i="22" s="1"/>
  <c r="J6" i="22"/>
  <c r="O8" i="22"/>
  <c r="J19" i="17"/>
  <c r="S44" i="17"/>
  <c r="S46" i="17"/>
  <c r="S45" i="17"/>
  <c r="F42" i="17"/>
  <c r="F36" i="17"/>
  <c r="S47" i="17"/>
  <c r="N40" i="17"/>
  <c r="S46" i="15"/>
  <c r="S48" i="15"/>
  <c r="F43" i="15"/>
  <c r="D50" i="15" s="1"/>
  <c r="S49" i="15"/>
  <c r="S47" i="15"/>
  <c r="F37" i="15"/>
  <c r="N41" i="15"/>
  <c r="S45" i="15"/>
  <c r="J20" i="15"/>
  <c r="B46" i="19" l="1"/>
  <c r="A51" i="29"/>
  <c r="B51" i="29" s="1"/>
  <c r="C54" i="1" s="1"/>
  <c r="C30" i="29"/>
  <c r="F41" i="29" s="1"/>
  <c r="G41" i="29" s="1"/>
  <c r="D19" i="29"/>
  <c r="L52" i="28"/>
  <c r="K52" i="28" s="1"/>
  <c r="A54" i="28"/>
  <c r="H42" i="19"/>
  <c r="G43" i="19" s="1"/>
  <c r="P29" i="1"/>
  <c r="F46" i="22"/>
  <c r="I46" i="22" s="1"/>
  <c r="B49" i="1"/>
  <c r="Y48" i="15"/>
  <c r="Y49" i="15" s="1"/>
  <c r="Y50" i="15" s="1"/>
  <c r="U50" i="15"/>
  <c r="D51" i="15"/>
  <c r="U51" i="15" s="1"/>
  <c r="C48" i="17"/>
  <c r="Y48" i="17"/>
  <c r="X48" i="17" s="1"/>
  <c r="B49" i="17"/>
  <c r="A47" i="19"/>
  <c r="L49" i="22"/>
  <c r="K49" i="22" s="1"/>
  <c r="A50" i="22"/>
  <c r="B50" i="22" s="1"/>
  <c r="D49" i="22"/>
  <c r="K47" i="1"/>
  <c r="L48" i="1"/>
  <c r="B53" i="15"/>
  <c r="C52" i="15"/>
  <c r="D52" i="15"/>
  <c r="S52" i="15"/>
  <c r="D48" i="17"/>
  <c r="U48" i="17" s="1"/>
  <c r="D46" i="17"/>
  <c r="U46" i="17" s="1"/>
  <c r="D45" i="17"/>
  <c r="U45" i="17" s="1"/>
  <c r="D47" i="17"/>
  <c r="U47" i="17" s="1"/>
  <c r="D92" i="17"/>
  <c r="D70" i="15"/>
  <c r="D49" i="15"/>
  <c r="U49" i="15" s="1"/>
  <c r="D46" i="15"/>
  <c r="U46" i="15" s="1"/>
  <c r="D48" i="15"/>
  <c r="U48" i="15" s="1"/>
  <c r="D47" i="15"/>
  <c r="U47" i="15" s="1"/>
  <c r="B47" i="19" l="1"/>
  <c r="E43" i="19"/>
  <c r="E47" i="22" s="1"/>
  <c r="F47" i="22" s="1"/>
  <c r="I47" i="22" s="1"/>
  <c r="A52" i="29"/>
  <c r="B52" i="29" s="1"/>
  <c r="C55" i="1" s="1"/>
  <c r="L53" i="28"/>
  <c r="K53" i="28" s="1"/>
  <c r="A55" i="28"/>
  <c r="B50" i="1"/>
  <c r="X49" i="15"/>
  <c r="U52" i="15"/>
  <c r="X48" i="15"/>
  <c r="X50" i="15"/>
  <c r="Y51" i="15"/>
  <c r="K48" i="1"/>
  <c r="L49" i="1"/>
  <c r="A48" i="19"/>
  <c r="C49" i="17"/>
  <c r="Y49" i="17"/>
  <c r="X49" i="17" s="1"/>
  <c r="D49" i="17"/>
  <c r="S49" i="17"/>
  <c r="B50" i="17"/>
  <c r="B54" i="15"/>
  <c r="S53" i="15"/>
  <c r="C53" i="15"/>
  <c r="D53" i="15"/>
  <c r="D50" i="22"/>
  <c r="L50" i="22"/>
  <c r="K50" i="22" s="1"/>
  <c r="A51" i="22"/>
  <c r="B51" i="22" s="1"/>
  <c r="D43" i="19" l="1"/>
  <c r="H43" i="19" s="1"/>
  <c r="G44" i="19" s="1"/>
  <c r="B48" i="19"/>
  <c r="A53" i="29"/>
  <c r="B53" i="29" s="1"/>
  <c r="C56" i="1" s="1"/>
  <c r="L54" i="28"/>
  <c r="K54" i="28" s="1"/>
  <c r="A56" i="28"/>
  <c r="L50" i="1"/>
  <c r="K50" i="1" s="1"/>
  <c r="B51" i="1"/>
  <c r="U53" i="15"/>
  <c r="U49" i="17"/>
  <c r="X51" i="15"/>
  <c r="Y52" i="15"/>
  <c r="L51" i="22"/>
  <c r="K51" i="22" s="1"/>
  <c r="D51" i="22"/>
  <c r="A52" i="22"/>
  <c r="B52" i="22" s="1"/>
  <c r="D54" i="15"/>
  <c r="C54" i="15"/>
  <c r="B55" i="15"/>
  <c r="S54" i="15"/>
  <c r="S50" i="17"/>
  <c r="Y50" i="17"/>
  <c r="X50" i="17" s="1"/>
  <c r="C50" i="17"/>
  <c r="D50" i="17"/>
  <c r="B51" i="17"/>
  <c r="A49" i="19"/>
  <c r="K49" i="1"/>
  <c r="E44" i="19" l="1"/>
  <c r="E48" i="22" s="1"/>
  <c r="F48" i="22" s="1"/>
  <c r="B49" i="19"/>
  <c r="A54" i="29"/>
  <c r="B54" i="29" s="1"/>
  <c r="B58" i="28" s="1"/>
  <c r="D58" i="28" s="1"/>
  <c r="L55" i="28"/>
  <c r="K55" i="28" s="1"/>
  <c r="A57" i="28"/>
  <c r="B52" i="1"/>
  <c r="L51" i="1"/>
  <c r="K51" i="1" s="1"/>
  <c r="U50" i="17"/>
  <c r="U54" i="15"/>
  <c r="X52" i="15"/>
  <c r="Y53" i="15"/>
  <c r="A50" i="19"/>
  <c r="S55" i="15"/>
  <c r="B56" i="15"/>
  <c r="C55" i="15"/>
  <c r="D55" i="15"/>
  <c r="U55" i="15" s="1"/>
  <c r="D52" i="22"/>
  <c r="L52" i="22"/>
  <c r="K52" i="22" s="1"/>
  <c r="A53" i="22"/>
  <c r="B53" i="22" s="1"/>
  <c r="I48" i="22"/>
  <c r="Y51" i="17"/>
  <c r="X51" i="17" s="1"/>
  <c r="C51" i="17"/>
  <c r="S51" i="17"/>
  <c r="D51" i="17"/>
  <c r="B52" i="17"/>
  <c r="D44" i="19" l="1"/>
  <c r="H44" i="19" s="1"/>
  <c r="G45" i="19" s="1"/>
  <c r="E45" i="19" s="1"/>
  <c r="E49" i="22" s="1"/>
  <c r="B50" i="19"/>
  <c r="H54" i="29"/>
  <c r="A55" i="29"/>
  <c r="B55" i="29" s="1"/>
  <c r="B59" i="28" s="1"/>
  <c r="D59" i="28" s="1"/>
  <c r="D54" i="29"/>
  <c r="E54" i="29"/>
  <c r="E58" i="28" s="1"/>
  <c r="G54" i="29"/>
  <c r="L56" i="28"/>
  <c r="K56" i="28" s="1"/>
  <c r="A58" i="28"/>
  <c r="F58" i="28" s="1"/>
  <c r="L52" i="1"/>
  <c r="K52" i="1" s="1"/>
  <c r="B53" i="1"/>
  <c r="U51" i="17"/>
  <c r="X53" i="15"/>
  <c r="Y54" i="15"/>
  <c r="Y52" i="17"/>
  <c r="X52" i="17" s="1"/>
  <c r="C52" i="17"/>
  <c r="S52" i="17"/>
  <c r="B53" i="17"/>
  <c r="D52" i="17"/>
  <c r="A54" i="22"/>
  <c r="B54" i="22" s="1"/>
  <c r="L53" i="22"/>
  <c r="K53" i="22" s="1"/>
  <c r="D53" i="22"/>
  <c r="D45" i="19"/>
  <c r="H45" i="19" s="1"/>
  <c r="C56" i="15"/>
  <c r="S56" i="15"/>
  <c r="D56" i="15"/>
  <c r="U56" i="15" s="1"/>
  <c r="B57" i="15"/>
  <c r="A51" i="19"/>
  <c r="B51" i="19" l="1"/>
  <c r="E55" i="29"/>
  <c r="E59" i="28" s="1"/>
  <c r="G55" i="29"/>
  <c r="H55" i="29"/>
  <c r="A56" i="29"/>
  <c r="B56" i="29" s="1"/>
  <c r="B60" i="28" s="1"/>
  <c r="D60" i="28" s="1"/>
  <c r="D55" i="29"/>
  <c r="L57" i="28"/>
  <c r="K57" i="28" s="1"/>
  <c r="I58" i="28"/>
  <c r="L58" i="28"/>
  <c r="K58" i="28" s="1"/>
  <c r="A59" i="28"/>
  <c r="F59" i="28" s="1"/>
  <c r="L53" i="1"/>
  <c r="K53" i="1" s="1"/>
  <c r="B54" i="1"/>
  <c r="X54" i="15"/>
  <c r="Y55" i="15"/>
  <c r="U52" i="17"/>
  <c r="G46" i="19"/>
  <c r="A52" i="19"/>
  <c r="C57" i="15"/>
  <c r="S57" i="15"/>
  <c r="D57" i="15"/>
  <c r="U57" i="15" s="1"/>
  <c r="B58" i="15"/>
  <c r="F49" i="22"/>
  <c r="L54" i="22"/>
  <c r="K54" i="22" s="1"/>
  <c r="A55" i="22"/>
  <c r="B55" i="22" s="1"/>
  <c r="D54" i="22"/>
  <c r="S53" i="17"/>
  <c r="C53" i="17"/>
  <c r="B54" i="17"/>
  <c r="D53" i="17"/>
  <c r="Y53" i="17"/>
  <c r="X53" i="17" s="1"/>
  <c r="E46" i="19" l="1"/>
  <c r="D46" i="19" s="1"/>
  <c r="H46" i="19" s="1"/>
  <c r="B52" i="19"/>
  <c r="H56" i="29"/>
  <c r="A57" i="29"/>
  <c r="B57" i="29" s="1"/>
  <c r="D56" i="29"/>
  <c r="E56" i="29"/>
  <c r="E60" i="28" s="1"/>
  <c r="G56" i="29"/>
  <c r="I59" i="28"/>
  <c r="L59" i="28"/>
  <c r="K59" i="28" s="1"/>
  <c r="A60" i="28"/>
  <c r="F60" i="28" s="1"/>
  <c r="L54" i="1"/>
  <c r="K54" i="1" s="1"/>
  <c r="B55" i="1"/>
  <c r="X55" i="15"/>
  <c r="Y56" i="15"/>
  <c r="U53" i="17"/>
  <c r="I49" i="22"/>
  <c r="C54" i="17"/>
  <c r="Y54" i="17"/>
  <c r="X54" i="17" s="1"/>
  <c r="B55" i="17"/>
  <c r="D54" i="17"/>
  <c r="U54" i="17" s="1"/>
  <c r="S54" i="17"/>
  <c r="D55" i="22"/>
  <c r="A56" i="22"/>
  <c r="B56" i="22" s="1"/>
  <c r="L55" i="22"/>
  <c r="K55" i="22" s="1"/>
  <c r="B59" i="15"/>
  <c r="D58" i="15"/>
  <c r="U58" i="15" s="1"/>
  <c r="S58" i="15"/>
  <c r="C58" i="15"/>
  <c r="A53" i="19"/>
  <c r="E50" i="22" l="1"/>
  <c r="F50" i="22" s="1"/>
  <c r="I50" i="22" s="1"/>
  <c r="B53" i="19"/>
  <c r="E57" i="29"/>
  <c r="G57" i="29"/>
  <c r="H57" i="29"/>
  <c r="A58" i="29"/>
  <c r="B58" i="29" s="1"/>
  <c r="D57" i="29"/>
  <c r="I60" i="28"/>
  <c r="L60" i="28"/>
  <c r="K60" i="28" s="1"/>
  <c r="X56" i="15"/>
  <c r="Y57" i="15"/>
  <c r="L55" i="1"/>
  <c r="K55" i="1" s="1"/>
  <c r="B56" i="1"/>
  <c r="G47" i="19"/>
  <c r="D59" i="15"/>
  <c r="U59" i="15" s="1"/>
  <c r="S59" i="15"/>
  <c r="C59" i="15"/>
  <c r="B60" i="15"/>
  <c r="S55" i="17"/>
  <c r="Y55" i="17"/>
  <c r="X55" i="17" s="1"/>
  <c r="C55" i="17"/>
  <c r="D55" i="17"/>
  <c r="U55" i="17" s="1"/>
  <c r="B56" i="17"/>
  <c r="A54" i="19"/>
  <c r="D56" i="22"/>
  <c r="A57" i="22"/>
  <c r="B57" i="22" s="1"/>
  <c r="L56" i="22"/>
  <c r="K56" i="22" s="1"/>
  <c r="B54" i="19" l="1"/>
  <c r="E47" i="19"/>
  <c r="E51" i="22" s="1"/>
  <c r="F51" i="22" s="1"/>
  <c r="I51" i="22" s="1"/>
  <c r="H58" i="29"/>
  <c r="A59" i="29"/>
  <c r="B59" i="29" s="1"/>
  <c r="D58" i="29"/>
  <c r="E58" i="29"/>
  <c r="G58" i="29"/>
  <c r="L56" i="1"/>
  <c r="K56" i="1" s="1"/>
  <c r="X57" i="15"/>
  <c r="Y58" i="15"/>
  <c r="B57" i="1"/>
  <c r="D57" i="1" s="1"/>
  <c r="A55" i="19"/>
  <c r="Y56" i="17"/>
  <c r="X56" i="17" s="1"/>
  <c r="D56" i="17"/>
  <c r="U56" i="17" s="1"/>
  <c r="C56" i="17"/>
  <c r="S56" i="17"/>
  <c r="B57" i="17"/>
  <c r="S60" i="15"/>
  <c r="D60" i="15"/>
  <c r="U60" i="15" s="1"/>
  <c r="B61" i="15"/>
  <c r="C60" i="15"/>
  <c r="L57" i="22"/>
  <c r="K57" i="22" s="1"/>
  <c r="D57" i="22"/>
  <c r="A58" i="22"/>
  <c r="D47" i="19" l="1"/>
  <c r="H47" i="19" s="1"/>
  <c r="G48" i="19" s="1"/>
  <c r="B55" i="19"/>
  <c r="E59" i="29"/>
  <c r="G59" i="29"/>
  <c r="H59" i="29"/>
  <c r="D59" i="29"/>
  <c r="G57" i="1"/>
  <c r="X58" i="15"/>
  <c r="Y59" i="15"/>
  <c r="L57" i="1"/>
  <c r="K57" i="1" s="1"/>
  <c r="B58" i="1"/>
  <c r="D58" i="1" s="1"/>
  <c r="E57" i="1"/>
  <c r="B58" i="22"/>
  <c r="D58" i="22"/>
  <c r="L58" i="22"/>
  <c r="K58" i="22" s="1"/>
  <c r="A59" i="22"/>
  <c r="A60" i="22" s="1"/>
  <c r="A56" i="19"/>
  <c r="D61" i="15"/>
  <c r="U61" i="15" s="1"/>
  <c r="C61" i="15"/>
  <c r="S61" i="15"/>
  <c r="B62" i="15"/>
  <c r="Y57" i="17"/>
  <c r="X57" i="17" s="1"/>
  <c r="D57" i="17"/>
  <c r="U57" i="17" s="1"/>
  <c r="S57" i="17"/>
  <c r="B58" i="17"/>
  <c r="C57" i="17"/>
  <c r="A61" i="22" l="1"/>
  <c r="B60" i="22"/>
  <c r="D60" i="22"/>
  <c r="F60" i="22" s="1"/>
  <c r="I60" i="22" s="1"/>
  <c r="E48" i="19"/>
  <c r="D48" i="19" s="1"/>
  <c r="H48" i="19" s="1"/>
  <c r="B56" i="19"/>
  <c r="G58" i="1"/>
  <c r="X59" i="15"/>
  <c r="Y60" i="15"/>
  <c r="E58" i="1"/>
  <c r="L58" i="1"/>
  <c r="K58" i="1" s="1"/>
  <c r="B59" i="1"/>
  <c r="D59" i="1" s="1"/>
  <c r="B59" i="22"/>
  <c r="Y58" i="17"/>
  <c r="X58" i="17" s="1"/>
  <c r="B59" i="17"/>
  <c r="D58" i="17"/>
  <c r="U58" i="17" s="1"/>
  <c r="C58" i="17"/>
  <c r="S58" i="17"/>
  <c r="S62" i="15"/>
  <c r="D62" i="15"/>
  <c r="U62" i="15" s="1"/>
  <c r="C62" i="15"/>
  <c r="B63" i="15"/>
  <c r="A57" i="19"/>
  <c r="L59" i="22"/>
  <c r="K59" i="22" s="1"/>
  <c r="D59" i="22"/>
  <c r="A62" i="22" l="1"/>
  <c r="D61" i="22"/>
  <c r="F61" i="22" s="1"/>
  <c r="I61" i="22" s="1"/>
  <c r="B61" i="22"/>
  <c r="E52" i="22"/>
  <c r="F52" i="22" s="1"/>
  <c r="I52" i="22" s="1"/>
  <c r="B57" i="19"/>
  <c r="G59" i="1"/>
  <c r="X60" i="15"/>
  <c r="Y61" i="15"/>
  <c r="B60" i="1"/>
  <c r="D60" i="1" s="1"/>
  <c r="E59" i="1"/>
  <c r="L59" i="1"/>
  <c r="K59" i="1" s="1"/>
  <c r="G49" i="19"/>
  <c r="A58" i="19"/>
  <c r="L66" i="22"/>
  <c r="K66" i="22" s="1"/>
  <c r="C63" i="15"/>
  <c r="B64" i="15"/>
  <c r="D63" i="15"/>
  <c r="U63" i="15" s="1"/>
  <c r="S63" i="15"/>
  <c r="D59" i="17"/>
  <c r="U59" i="17" s="1"/>
  <c r="C59" i="17"/>
  <c r="S59" i="17"/>
  <c r="B60" i="17"/>
  <c r="Y59" i="17"/>
  <c r="X59" i="17" s="1"/>
  <c r="F62" i="22" l="1"/>
  <c r="I62" i="22" s="1"/>
  <c r="D62" i="22"/>
  <c r="A63" i="22"/>
  <c r="B62" i="22"/>
  <c r="E49" i="19"/>
  <c r="D49" i="19" s="1"/>
  <c r="H49" i="19" s="1"/>
  <c r="B58" i="19"/>
  <c r="G60" i="1"/>
  <c r="X61" i="15"/>
  <c r="Y62" i="15"/>
  <c r="L60" i="1"/>
  <c r="K60" i="1" s="1"/>
  <c r="B61" i="1"/>
  <c r="D61" i="1" s="1"/>
  <c r="E60" i="1"/>
  <c r="E25" i="15"/>
  <c r="E27" i="15" s="1"/>
  <c r="E27" i="1"/>
  <c r="E24" i="17"/>
  <c r="E26" i="17" s="1"/>
  <c r="C64" i="15"/>
  <c r="B65" i="15"/>
  <c r="D64" i="15"/>
  <c r="U64" i="15" s="1"/>
  <c r="S64" i="15"/>
  <c r="S60" i="17"/>
  <c r="Y60" i="17"/>
  <c r="X60" i="17" s="1"/>
  <c r="C60" i="17"/>
  <c r="D60" i="17"/>
  <c r="U60" i="17" s="1"/>
  <c r="B61" i="17"/>
  <c r="A59" i="19"/>
  <c r="B63" i="22" l="1"/>
  <c r="D63" i="22"/>
  <c r="F63" i="22" s="1"/>
  <c r="I63" i="22" s="1"/>
  <c r="E53" i="22"/>
  <c r="F53" i="22" s="1"/>
  <c r="B59" i="19"/>
  <c r="G61" i="1"/>
  <c r="X62" i="15"/>
  <c r="Y63" i="15"/>
  <c r="L61" i="1"/>
  <c r="K61" i="1" s="1"/>
  <c r="E61" i="1"/>
  <c r="B62" i="1"/>
  <c r="D62" i="1" s="1"/>
  <c r="F38" i="15"/>
  <c r="F33" i="15"/>
  <c r="F35" i="15" s="1"/>
  <c r="F37" i="17"/>
  <c r="F32" i="17"/>
  <c r="F34" i="17" s="1"/>
  <c r="F33" i="1"/>
  <c r="F35" i="1" s="1"/>
  <c r="G50" i="19"/>
  <c r="C65" i="15"/>
  <c r="B66" i="15"/>
  <c r="D65" i="15"/>
  <c r="U65" i="15" s="1"/>
  <c r="S65" i="15"/>
  <c r="Y61" i="17"/>
  <c r="X61" i="17" s="1"/>
  <c r="C61" i="17"/>
  <c r="B62" i="17"/>
  <c r="D61" i="17"/>
  <c r="U61" i="17" s="1"/>
  <c r="S61" i="17"/>
  <c r="D67" i="22" l="1"/>
  <c r="C29" i="29" s="1"/>
  <c r="E50" i="19"/>
  <c r="E54" i="22" s="1"/>
  <c r="G62" i="1"/>
  <c r="X63" i="15"/>
  <c r="Y64" i="15"/>
  <c r="L62" i="1"/>
  <c r="K62" i="1" s="1"/>
  <c r="E62" i="1"/>
  <c r="B63" i="1"/>
  <c r="D63" i="1" s="1"/>
  <c r="I53" i="22"/>
  <c r="U62" i="17"/>
  <c r="C62" i="17"/>
  <c r="Y62" i="17"/>
  <c r="X62" i="17" s="1"/>
  <c r="B63" i="17"/>
  <c r="S62" i="17"/>
  <c r="D62" i="17"/>
  <c r="S66" i="15"/>
  <c r="D66" i="15"/>
  <c r="U66" i="15" s="1"/>
  <c r="B67" i="15"/>
  <c r="C66" i="15"/>
  <c r="D50" i="19" l="1"/>
  <c r="H50" i="19" s="1"/>
  <c r="G51" i="19" s="1"/>
  <c r="G63" i="1"/>
  <c r="X64" i="15"/>
  <c r="Y65" i="15"/>
  <c r="L63" i="1"/>
  <c r="K63" i="1" s="1"/>
  <c r="B64" i="1"/>
  <c r="D64" i="1" s="1"/>
  <c r="E63" i="1"/>
  <c r="F54" i="22"/>
  <c r="I54" i="22" s="1"/>
  <c r="B68" i="15"/>
  <c r="C67" i="15"/>
  <c r="S67" i="15"/>
  <c r="D67" i="15"/>
  <c r="U67" i="15" s="1"/>
  <c r="C63" i="17"/>
  <c r="B64" i="17"/>
  <c r="Y63" i="17"/>
  <c r="X63" i="17" s="1"/>
  <c r="D63" i="17"/>
  <c r="U63" i="17" s="1"/>
  <c r="S63" i="17"/>
  <c r="E51" i="19" l="1"/>
  <c r="D51" i="19" s="1"/>
  <c r="H51" i="19" s="1"/>
  <c r="G52" i="19" s="1"/>
  <c r="E52" i="19" s="1"/>
  <c r="G64" i="1"/>
  <c r="X65" i="15"/>
  <c r="Y66" i="15"/>
  <c r="B65" i="1"/>
  <c r="D65" i="1" s="1"/>
  <c r="L64" i="1"/>
  <c r="K64" i="1" s="1"/>
  <c r="E64" i="1"/>
  <c r="B65" i="17"/>
  <c r="Y64" i="17"/>
  <c r="X64" i="17" s="1"/>
  <c r="S64" i="17"/>
  <c r="C64" i="17"/>
  <c r="D64" i="17"/>
  <c r="U64" i="17" s="1"/>
  <c r="C68" i="15"/>
  <c r="D68" i="15"/>
  <c r="S68" i="15"/>
  <c r="B69" i="15"/>
  <c r="U68" i="15"/>
  <c r="E55" i="22" l="1"/>
  <c r="F55" i="22" s="1"/>
  <c r="I55" i="22" s="1"/>
  <c r="G65" i="1"/>
  <c r="X66" i="15"/>
  <c r="Y67" i="15"/>
  <c r="E65" i="1"/>
  <c r="B66" i="1"/>
  <c r="D66" i="1" s="1"/>
  <c r="L65" i="1"/>
  <c r="K65" i="1" s="1"/>
  <c r="E56" i="22"/>
  <c r="D65" i="17"/>
  <c r="U65" i="17" s="1"/>
  <c r="Y65" i="17"/>
  <c r="X65" i="17" s="1"/>
  <c r="S65" i="17"/>
  <c r="B66" i="17"/>
  <c r="C65" i="17"/>
  <c r="Y69" i="15"/>
  <c r="D69" i="15"/>
  <c r="D45" i="15" s="1"/>
  <c r="U45" i="15" s="1"/>
  <c r="S69" i="15"/>
  <c r="S70" i="15" s="1"/>
  <c r="C69" i="15"/>
  <c r="G66" i="1" l="1"/>
  <c r="U69" i="15"/>
  <c r="U70" i="15" s="1"/>
  <c r="X67" i="15"/>
  <c r="Y68" i="15"/>
  <c r="X68" i="15" s="1"/>
  <c r="L66" i="1"/>
  <c r="K66" i="1" s="1"/>
  <c r="B67" i="1"/>
  <c r="D67" i="1" s="1"/>
  <c r="E66" i="1"/>
  <c r="F56" i="22"/>
  <c r="D52" i="19"/>
  <c r="H52" i="19" s="1"/>
  <c r="D66" i="17"/>
  <c r="U66" i="17"/>
  <c r="C66" i="17"/>
  <c r="Y66" i="17"/>
  <c r="X66" i="17" s="1"/>
  <c r="B67" i="17"/>
  <c r="S66" i="17"/>
  <c r="G67" i="1" l="1"/>
  <c r="G53" i="19"/>
  <c r="B68" i="1"/>
  <c r="D68" i="1" s="1"/>
  <c r="E67" i="1"/>
  <c r="L67" i="1"/>
  <c r="K67" i="1" s="1"/>
  <c r="I56" i="22"/>
  <c r="B68" i="17"/>
  <c r="S67" i="17"/>
  <c r="C67" i="17"/>
  <c r="Y67" i="17"/>
  <c r="X67" i="17" s="1"/>
  <c r="D67" i="17"/>
  <c r="U67" i="17" s="1"/>
  <c r="E53" i="19" l="1"/>
  <c r="D53" i="19" s="1"/>
  <c r="H53" i="19" s="1"/>
  <c r="G68" i="1"/>
  <c r="E68" i="1"/>
  <c r="L68" i="1"/>
  <c r="K68" i="1" s="1"/>
  <c r="B69" i="1"/>
  <c r="U68" i="17"/>
  <c r="C68" i="17"/>
  <c r="D68" i="17"/>
  <c r="Y68" i="17"/>
  <c r="X68" i="17" s="1"/>
  <c r="S68" i="17"/>
  <c r="B69" i="17"/>
  <c r="E57" i="22" l="1"/>
  <c r="F57" i="22" s="1"/>
  <c r="D69" i="1"/>
  <c r="G69" i="1"/>
  <c r="G54" i="19"/>
  <c r="E54" i="19" s="1"/>
  <c r="L69" i="1"/>
  <c r="E69" i="1"/>
  <c r="C69" i="17"/>
  <c r="S69" i="17"/>
  <c r="B70" i="17"/>
  <c r="Y69" i="17"/>
  <c r="X69" i="17" s="1"/>
  <c r="D69" i="17"/>
  <c r="U69" i="17" s="1"/>
  <c r="E58" i="22" l="1"/>
  <c r="I57" i="22"/>
  <c r="B71" i="17"/>
  <c r="C70" i="17"/>
  <c r="S70" i="17"/>
  <c r="D70" i="17"/>
  <c r="U70" i="17" s="1"/>
  <c r="Y70" i="17"/>
  <c r="X70" i="17" s="1"/>
  <c r="I58" i="22" l="1"/>
  <c r="D54" i="19"/>
  <c r="H54" i="19" s="1"/>
  <c r="F58" i="22"/>
  <c r="B72" i="17"/>
  <c r="S71" i="17"/>
  <c r="Y71" i="17"/>
  <c r="X71" i="17" s="1"/>
  <c r="D71" i="17"/>
  <c r="U71" i="17" s="1"/>
  <c r="C71" i="17"/>
  <c r="G55" i="19" l="1"/>
  <c r="D72" i="17"/>
  <c r="U72" i="17" s="1"/>
  <c r="B73" i="17"/>
  <c r="C72" i="17"/>
  <c r="Y72" i="17"/>
  <c r="X72" i="17" s="1"/>
  <c r="S72" i="17"/>
  <c r="E55" i="19" l="1"/>
  <c r="E59" i="22" s="1"/>
  <c r="D73" i="17"/>
  <c r="U73" i="17" s="1"/>
  <c r="C73" i="17"/>
  <c r="S73" i="17"/>
  <c r="Y73" i="17"/>
  <c r="X73" i="17" s="1"/>
  <c r="B74" i="17"/>
  <c r="D55" i="19" l="1"/>
  <c r="H55" i="19" s="1"/>
  <c r="F59" i="22"/>
  <c r="B75" i="17"/>
  <c r="S74" i="17"/>
  <c r="Y74" i="17"/>
  <c r="X74" i="17" s="1"/>
  <c r="C74" i="17"/>
  <c r="D74" i="17"/>
  <c r="U74" i="17" s="1"/>
  <c r="G56" i="19" l="1"/>
  <c r="F67" i="22"/>
  <c r="C43" i="1" s="1"/>
  <c r="I59" i="22"/>
  <c r="C75" i="17"/>
  <c r="S75" i="17"/>
  <c r="U75" i="17"/>
  <c r="D75" i="17"/>
  <c r="Y75" i="17"/>
  <c r="X75" i="17" s="1"/>
  <c r="B76" i="17"/>
  <c r="E56" i="19" l="1"/>
  <c r="C76" i="17"/>
  <c r="S76" i="17"/>
  <c r="D76" i="17"/>
  <c r="U76" i="17" s="1"/>
  <c r="Y76" i="17"/>
  <c r="X76" i="17" s="1"/>
  <c r="B77" i="17"/>
  <c r="E60" i="22" l="1"/>
  <c r="D56" i="19"/>
  <c r="H56" i="19" s="1"/>
  <c r="B78" i="17"/>
  <c r="Y77" i="17"/>
  <c r="X77" i="17" s="1"/>
  <c r="C77" i="17"/>
  <c r="S77" i="17"/>
  <c r="D77" i="17"/>
  <c r="U77" i="17" s="1"/>
  <c r="G57" i="19" l="1"/>
  <c r="D78" i="17"/>
  <c r="U78" i="17" s="1"/>
  <c r="C78" i="17"/>
  <c r="B79" i="17"/>
  <c r="S78" i="17"/>
  <c r="Y78" i="17"/>
  <c r="X78" i="17" s="1"/>
  <c r="E57" i="19" l="1"/>
  <c r="Y79" i="17"/>
  <c r="X79" i="17" s="1"/>
  <c r="C79" i="17"/>
  <c r="B80" i="17"/>
  <c r="D79" i="17"/>
  <c r="S79" i="17"/>
  <c r="U79" i="17"/>
  <c r="D57" i="19" l="1"/>
  <c r="H57" i="19" s="1"/>
  <c r="E61" i="22"/>
  <c r="G58" i="19"/>
  <c r="B81" i="17"/>
  <c r="Y80" i="17"/>
  <c r="X80" i="17" s="1"/>
  <c r="C80" i="17"/>
  <c r="D80" i="17"/>
  <c r="U80" i="17" s="1"/>
  <c r="S80" i="17"/>
  <c r="E58" i="19" l="1"/>
  <c r="E62" i="22" s="1"/>
  <c r="U81" i="17"/>
  <c r="D81" i="17"/>
  <c r="C81" i="17"/>
  <c r="Y81" i="17"/>
  <c r="X81" i="17" s="1"/>
  <c r="B82" i="17"/>
  <c r="S81" i="17"/>
  <c r="D58" i="19" l="1"/>
  <c r="H58" i="19" s="1"/>
  <c r="G59" i="19" s="1"/>
  <c r="D82" i="17"/>
  <c r="U82" i="17" s="1"/>
  <c r="S82" i="17"/>
  <c r="Y82" i="17"/>
  <c r="X82" i="17" s="1"/>
  <c r="B83" i="17"/>
  <c r="C82" i="17"/>
  <c r="E59" i="19" l="1"/>
  <c r="E63" i="22" s="1"/>
  <c r="E67" i="22" s="1"/>
  <c r="C36" i="19"/>
  <c r="E21" i="22" s="1"/>
  <c r="C83" i="17"/>
  <c r="Y83" i="17"/>
  <c r="X83" i="17" s="1"/>
  <c r="B84" i="17"/>
  <c r="S83" i="17"/>
  <c r="D83" i="17"/>
  <c r="U83" i="17" s="1"/>
  <c r="E23" i="22" l="1"/>
  <c r="D18" i="19"/>
  <c r="D59" i="19"/>
  <c r="H59" i="19" s="1"/>
  <c r="C37" i="19"/>
  <c r="D53" i="28"/>
  <c r="D47" i="28"/>
  <c r="D54" i="28"/>
  <c r="D57" i="28"/>
  <c r="D55" i="28"/>
  <c r="D48" i="28"/>
  <c r="D49" i="28"/>
  <c r="D56" i="28"/>
  <c r="D50" i="28"/>
  <c r="D46" i="28"/>
  <c r="D52" i="28"/>
  <c r="D51" i="28"/>
  <c r="Y84" i="17"/>
  <c r="X84" i="17" s="1"/>
  <c r="D84" i="17"/>
  <c r="U84" i="17" s="1"/>
  <c r="C84" i="17"/>
  <c r="S84" i="17"/>
  <c r="B85" i="17"/>
  <c r="F28" i="22" l="1"/>
  <c r="F32" i="22"/>
  <c r="F38" i="1" s="1"/>
  <c r="D19" i="19"/>
  <c r="C30" i="19"/>
  <c r="F41" i="19" s="1"/>
  <c r="G41" i="19" s="1"/>
  <c r="D43" i="1"/>
  <c r="A63" i="28"/>
  <c r="C41" i="28"/>
  <c r="C41" i="22"/>
  <c r="A69" i="22"/>
  <c r="A61" i="19"/>
  <c r="K8" i="19"/>
  <c r="L14" i="19"/>
  <c r="K14" i="19"/>
  <c r="N8" i="19"/>
  <c r="S85" i="17"/>
  <c r="C85" i="17"/>
  <c r="D85" i="17"/>
  <c r="U85" i="17" s="1"/>
  <c r="Y85" i="17"/>
  <c r="X85" i="17" s="1"/>
  <c r="B86" i="17"/>
  <c r="C35" i="19" l="1"/>
  <c r="C34" i="19"/>
  <c r="G45" i="22"/>
  <c r="F30" i="22"/>
  <c r="N39" i="22"/>
  <c r="E41" i="22"/>
  <c r="J16" i="22"/>
  <c r="E51" i="1"/>
  <c r="E52" i="28" s="1"/>
  <c r="E56" i="1"/>
  <c r="E57" i="28" s="1"/>
  <c r="E45" i="1"/>
  <c r="E46" i="1"/>
  <c r="E47" i="28" s="1"/>
  <c r="E48" i="1"/>
  <c r="E49" i="28" s="1"/>
  <c r="E54" i="1"/>
  <c r="E55" i="28" s="1"/>
  <c r="E55" i="1"/>
  <c r="E56" i="28" s="1"/>
  <c r="E50" i="1"/>
  <c r="E51" i="28" s="1"/>
  <c r="E49" i="1"/>
  <c r="E50" i="28" s="1"/>
  <c r="E52" i="1"/>
  <c r="E53" i="28" s="1"/>
  <c r="K13" i="29"/>
  <c r="E53" i="1"/>
  <c r="E54" i="28" s="1"/>
  <c r="E47" i="1"/>
  <c r="E48" i="28" s="1"/>
  <c r="N41" i="1"/>
  <c r="J20" i="1"/>
  <c r="K13" i="19"/>
  <c r="K16" i="19" s="1"/>
  <c r="F43" i="1"/>
  <c r="E41" i="28"/>
  <c r="N39" i="28"/>
  <c r="J16" i="28"/>
  <c r="S86" i="17"/>
  <c r="Y86" i="17"/>
  <c r="X86" i="17" s="1"/>
  <c r="B87" i="17"/>
  <c r="D86" i="17"/>
  <c r="U86" i="17" s="1"/>
  <c r="C86" i="17"/>
  <c r="F36" i="22" l="1"/>
  <c r="F36" i="28"/>
  <c r="F35" i="22"/>
  <c r="F35" i="28"/>
  <c r="D55" i="1"/>
  <c r="G55" i="1" s="1"/>
  <c r="D54" i="1"/>
  <c r="G54" i="1" s="1"/>
  <c r="D48" i="1"/>
  <c r="G48" i="1" s="1"/>
  <c r="D47" i="1"/>
  <c r="G47" i="1" s="1"/>
  <c r="D52" i="1"/>
  <c r="G52" i="1" s="1"/>
  <c r="D50" i="1"/>
  <c r="G50" i="1" s="1"/>
  <c r="D56" i="1"/>
  <c r="G56" i="1" s="1"/>
  <c r="D53" i="1"/>
  <c r="G53" i="1" s="1"/>
  <c r="D70" i="1"/>
  <c r="D45" i="1"/>
  <c r="G45" i="1" s="1"/>
  <c r="D51" i="1"/>
  <c r="G51" i="1" s="1"/>
  <c r="D46" i="1"/>
  <c r="G46" i="1" s="1"/>
  <c r="D49" i="1"/>
  <c r="G49" i="1" s="1"/>
  <c r="E46" i="28"/>
  <c r="E70" i="1"/>
  <c r="S87" i="17"/>
  <c r="Y87" i="17"/>
  <c r="X87" i="17" s="1"/>
  <c r="B88" i="17"/>
  <c r="D87" i="17"/>
  <c r="U87" i="17"/>
  <c r="C87" i="17"/>
  <c r="J45" i="1" l="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G70" i="1"/>
  <c r="D88" i="17"/>
  <c r="U88" i="17" s="1"/>
  <c r="Y88" i="17"/>
  <c r="X88" i="17" s="1"/>
  <c r="B89" i="17"/>
  <c r="C88" i="17"/>
  <c r="S88" i="17"/>
  <c r="B90" i="17" l="1"/>
  <c r="C89" i="17"/>
  <c r="Y89" i="17"/>
  <c r="X89" i="17" s="1"/>
  <c r="D89" i="17"/>
  <c r="U89" i="17" s="1"/>
  <c r="S89" i="17"/>
  <c r="C90" i="17" l="1"/>
  <c r="Y90" i="17"/>
  <c r="X90" i="17" s="1"/>
  <c r="B91" i="17"/>
  <c r="D90" i="17"/>
  <c r="S90" i="17"/>
  <c r="U90" i="17"/>
  <c r="S91" i="17" l="1"/>
  <c r="Y91" i="17"/>
  <c r="X91" i="17" s="1"/>
  <c r="D91" i="17"/>
  <c r="D44" i="17" s="1"/>
  <c r="U44" i="17" s="1"/>
  <c r="C91" i="17"/>
  <c r="U91" i="17" l="1"/>
  <c r="G42" i="29"/>
  <c r="E42" i="29" s="1"/>
  <c r="D42" i="29" l="1"/>
  <c r="H42" i="29" s="1"/>
  <c r="G43" i="29" l="1"/>
  <c r="E43" i="29" s="1"/>
  <c r="F47" i="28" l="1"/>
  <c r="D43" i="29"/>
  <c r="H43" i="29" s="1"/>
  <c r="G44" i="29" l="1"/>
  <c r="E44" i="29" s="1"/>
  <c r="F48" i="28" l="1"/>
  <c r="D44" i="29"/>
  <c r="H44" i="29" s="1"/>
  <c r="G45" i="29" l="1"/>
  <c r="E45" i="29" s="1"/>
  <c r="F49" i="28" l="1"/>
  <c r="D45" i="29"/>
  <c r="H45" i="29" s="1"/>
  <c r="G46" i="29" l="1"/>
  <c r="E46" i="29" s="1"/>
  <c r="F50" i="28" l="1"/>
  <c r="D46" i="29" l="1"/>
  <c r="H46" i="29" s="1"/>
  <c r="G47" i="29" l="1"/>
  <c r="E47" i="29" s="1"/>
  <c r="D47" i="29" l="1"/>
  <c r="H47" i="29" s="1"/>
  <c r="G48" i="29" s="1"/>
  <c r="E48" i="29" s="1"/>
  <c r="F51" i="28"/>
  <c r="D48" i="29" l="1"/>
  <c r="H48" i="29" s="1"/>
  <c r="G49" i="29" s="1"/>
  <c r="E49" i="29" s="1"/>
  <c r="F52" i="28"/>
  <c r="D49" i="29" l="1"/>
  <c r="H49" i="29" s="1"/>
  <c r="G50" i="29" s="1"/>
  <c r="E50" i="29" s="1"/>
  <c r="F53" i="28"/>
  <c r="D50" i="29" l="1"/>
  <c r="H50" i="29" s="1"/>
  <c r="G51" i="29" s="1"/>
  <c r="E51" i="29" s="1"/>
  <c r="F54" i="28"/>
  <c r="D51" i="29" l="1"/>
  <c r="H51" i="29" s="1"/>
  <c r="G52" i="29" s="1"/>
  <c r="E52" i="29" s="1"/>
  <c r="F55" i="28"/>
  <c r="D52" i="29" l="1"/>
  <c r="H52" i="29" s="1"/>
  <c r="G53" i="29" s="1"/>
  <c r="E53" i="29" s="1"/>
  <c r="F56" i="28"/>
  <c r="C36" i="29" l="1"/>
  <c r="C34" i="29"/>
  <c r="C35" i="29"/>
  <c r="F57" i="28" l="1"/>
  <c r="E61" i="28"/>
  <c r="D53" i="29"/>
  <c r="H53" i="29" s="1"/>
  <c r="D61" i="28"/>
  <c r="N45" i="28" s="1"/>
  <c r="F46" i="28"/>
  <c r="F61" i="28" l="1"/>
  <c r="I46" i="28"/>
  <c r="I47" i="28" s="1"/>
  <c r="I48" i="28" s="1"/>
  <c r="I49" i="28" s="1"/>
  <c r="I50" i="28" s="1"/>
  <c r="I51" i="28" s="1"/>
  <c r="I52" i="28" s="1"/>
  <c r="I53" i="28" s="1"/>
  <c r="I54" i="28" s="1"/>
  <c r="I55" i="28" s="1"/>
  <c r="I56" i="28" s="1"/>
  <c r="I57" i="28" s="1"/>
  <c r="N8" i="29" l="1"/>
  <c r="L14" i="29"/>
  <c r="A61" i="29"/>
  <c r="K8" i="29"/>
  <c r="C37" i="29"/>
  <c r="K14" i="29"/>
  <c r="K16" i="29" s="1"/>
</calcChain>
</file>

<file path=xl/sharedStrings.xml><?xml version="1.0" encoding="utf-8"?>
<sst xmlns="http://schemas.openxmlformats.org/spreadsheetml/2006/main" count="541" uniqueCount="215">
  <si>
    <t>NAME</t>
  </si>
  <si>
    <t>ADDRESS</t>
  </si>
  <si>
    <t>TYPE OF LOAN</t>
  </si>
  <si>
    <t>TERMS</t>
  </si>
  <si>
    <t>to</t>
  </si>
  <si>
    <t>In months</t>
  </si>
  <si>
    <t>COMPUTATION OF NET PROCEEDS</t>
  </si>
  <si>
    <t>Less Interest and Other Charges</t>
  </si>
  <si>
    <t xml:space="preserve">Interest </t>
  </si>
  <si>
    <t>Total Finance charge</t>
  </si>
  <si>
    <t>Others:</t>
  </si>
  <si>
    <t>Notarial fee</t>
  </si>
  <si>
    <t>Net Proceeds</t>
  </si>
  <si>
    <t>% of Finance charges to Total Amount Financed</t>
  </si>
  <si>
    <t>Renewal Nth loan</t>
  </si>
  <si>
    <t>Check No.</t>
  </si>
  <si>
    <t xml:space="preserve">Release Date: </t>
  </si>
  <si>
    <t>SCHEDULE OF AMORTIZATION</t>
  </si>
  <si>
    <t>Principal / Amount of Loan</t>
  </si>
  <si>
    <t>Interest Due on Loans</t>
  </si>
  <si>
    <t>Period</t>
  </si>
  <si>
    <t>Due Date</t>
  </si>
  <si>
    <t>amortization</t>
  </si>
  <si>
    <t>Interest</t>
  </si>
  <si>
    <t>Principal</t>
  </si>
  <si>
    <t>Total Amount Payable</t>
  </si>
  <si>
    <t>Prepared/ Verified by:</t>
  </si>
  <si>
    <t>Received Copy:</t>
  </si>
  <si>
    <t>Date:</t>
  </si>
  <si>
    <t>Released by:</t>
  </si>
  <si>
    <t>Interest/mo</t>
  </si>
  <si>
    <t># of payments</t>
  </si>
  <si>
    <t>Manila, Philippines</t>
  </si>
  <si>
    <t>9th Floor Times Plaza Bldg., UN Ave. Cor. Taft Ave. Ermita Manila</t>
  </si>
  <si>
    <t>353-85-24/25</t>
  </si>
  <si>
    <t xml:space="preserve">Name </t>
  </si>
  <si>
    <t>Address</t>
  </si>
  <si>
    <t>Date Released</t>
  </si>
  <si>
    <t>Type of Loan</t>
  </si>
  <si>
    <t>Processing Fee in Percentage</t>
  </si>
  <si>
    <t>Notarial Fee</t>
  </si>
  <si>
    <t>Loan Amount</t>
  </si>
  <si>
    <t>Doc fee</t>
  </si>
  <si>
    <t>DATEDIF(H11,I11,"D")</t>
  </si>
  <si>
    <t>Agent</t>
  </si>
  <si>
    <t>IMPORTANT REMINDERS:</t>
  </si>
  <si>
    <t>w/out adjustment</t>
  </si>
  <si>
    <t>days from loan release and 1st payment</t>
  </si>
  <si>
    <t>IF('Master data Input'!B35="YES",ROUNDUP(F16*0.0015,0),"0")</t>
  </si>
  <si>
    <t>EXPRESS</t>
  </si>
  <si>
    <t>Account Management Fee</t>
  </si>
  <si>
    <t>IF(1200&gt;O27,1200,O27)</t>
  </si>
  <si>
    <t>NO</t>
  </si>
  <si>
    <t>Noted by:</t>
  </si>
  <si>
    <t>Agent:</t>
  </si>
  <si>
    <t>REMARKS</t>
  </si>
  <si>
    <t>from</t>
  </si>
  <si>
    <t>Outstanding Balance from previous loan</t>
  </si>
  <si>
    <t>Account Management fee</t>
  </si>
  <si>
    <t>Effective Rate (per month)</t>
  </si>
  <si>
    <t>Name</t>
  </si>
  <si>
    <t>Referal fee %</t>
  </si>
  <si>
    <t>PN no.</t>
  </si>
  <si>
    <t>Letter Signatory</t>
  </si>
  <si>
    <t>Position</t>
  </si>
  <si>
    <t>Doc Fee</t>
  </si>
  <si>
    <t>Term</t>
  </si>
  <si>
    <t># of Amortization</t>
  </si>
  <si>
    <t xml:space="preserve">end of term </t>
  </si>
  <si>
    <t>Amortization</t>
  </si>
  <si>
    <t>HERMINIA GARCIA</t>
  </si>
  <si>
    <t>DELIA OLARTE</t>
  </si>
  <si>
    <t>ELISA LAGUITAN</t>
  </si>
  <si>
    <t>GINA SERNAL</t>
  </si>
  <si>
    <t>EVANGELINE DETERA</t>
  </si>
  <si>
    <t>EMELINDA PARAISO</t>
  </si>
  <si>
    <t>FABIOLITA BASAY</t>
  </si>
  <si>
    <t>LUCILA SAAVEDRA</t>
  </si>
  <si>
    <t>NOEL CARRANZA</t>
  </si>
  <si>
    <t>JAIME SIMBAHON</t>
  </si>
  <si>
    <t>JOEMAREY PEÑARANDA</t>
  </si>
  <si>
    <t>CARMELITA DUMA</t>
  </si>
  <si>
    <t>RENANTE LIBRES</t>
  </si>
  <si>
    <t>MARISSA VILLANUEVA</t>
  </si>
  <si>
    <t>LINDA SEMBRANO</t>
  </si>
  <si>
    <t>ERMELITO NAPOLEON</t>
  </si>
  <si>
    <t>FREDERICK MARCELO</t>
  </si>
  <si>
    <t>ZENAIDA CABRIDO</t>
  </si>
  <si>
    <t>MARIA TERESA SAMPELIS</t>
  </si>
  <si>
    <t>sheet</t>
  </si>
  <si>
    <t>ALICIA SAAVEDRA</t>
  </si>
  <si>
    <t>JOSEPHINE RIVERA</t>
  </si>
  <si>
    <t>RICHARD FERRERAS</t>
  </si>
  <si>
    <t>MARY ANN CRISOSTOMO</t>
  </si>
  <si>
    <t>LOURDES SAN PEDRO</t>
  </si>
  <si>
    <t>Installment Type</t>
  </si>
  <si>
    <t>Maturity Date</t>
  </si>
  <si>
    <t>EDGAR LAGUITAN</t>
  </si>
  <si>
    <t>Processing Fee</t>
  </si>
  <si>
    <t>Principal/ Amount Financed</t>
  </si>
  <si>
    <t>Mode of Payment</t>
  </si>
  <si>
    <t>Bank</t>
  </si>
  <si>
    <t>MODE OF PAYMENT:</t>
  </si>
  <si>
    <t xml:space="preserve">MODE OF PAYMENT: </t>
  </si>
  <si>
    <t>WALK IN</t>
  </si>
  <si>
    <t>Remarks</t>
  </si>
  <si>
    <t>New</t>
  </si>
  <si>
    <t>.</t>
  </si>
  <si>
    <t>Loan Information</t>
  </si>
  <si>
    <t>Loan Type</t>
  </si>
  <si>
    <t>Principal Amount</t>
  </si>
  <si>
    <t>Contractual Rate (Monthly)</t>
  </si>
  <si>
    <t>No. of Monthly Installment</t>
  </si>
  <si>
    <t>Monthly Payment</t>
  </si>
  <si>
    <t>Other Charges</t>
  </si>
  <si>
    <t>Summary</t>
  </si>
  <si>
    <t>Effective Annual Interest Rate (EIR)</t>
  </si>
  <si>
    <t>Effective Monthly Interest Rate (MIR)</t>
  </si>
  <si>
    <t>Total Payments</t>
  </si>
  <si>
    <t>Total Interest</t>
  </si>
  <si>
    <t>Inst. Period</t>
  </si>
  <si>
    <t>Gross Loan</t>
  </si>
  <si>
    <t>Cash Flows</t>
  </si>
  <si>
    <t>Balance</t>
  </si>
  <si>
    <t>Prepared / Verified by:</t>
  </si>
  <si>
    <t>or</t>
  </si>
  <si>
    <t>Less: Deduction:</t>
  </si>
  <si>
    <t>Loan Term Adjustment</t>
  </si>
  <si>
    <t>Previous Loan Balance</t>
  </si>
  <si>
    <t>Total Deduction</t>
  </si>
  <si>
    <t xml:space="preserve">PN. No. </t>
  </si>
  <si>
    <t>Release Date:</t>
  </si>
  <si>
    <t>loan term adjustment</t>
  </si>
  <si>
    <t>Advance Interest</t>
  </si>
  <si>
    <t>difference</t>
  </si>
  <si>
    <t>Total Interest (deminishing)</t>
  </si>
  <si>
    <t>Terms in Month:</t>
  </si>
  <si>
    <t>No. of Payments:</t>
  </si>
  <si>
    <t>Effective Annual Rate (EIR)</t>
  </si>
  <si>
    <t>SCHEDULE OF PAYMENT</t>
  </si>
  <si>
    <t>Less: Deduction</t>
  </si>
  <si>
    <t>Branch:</t>
  </si>
  <si>
    <t>Branch</t>
  </si>
  <si>
    <t>Contractual Interest Rate per Month</t>
  </si>
  <si>
    <t>UII (old computation sheet)</t>
  </si>
  <si>
    <t>Equivalent Add-on Interest Rate per Month</t>
  </si>
  <si>
    <t>LIST OF AGENTS</t>
  </si>
  <si>
    <t>ROSANA LABIANO</t>
  </si>
  <si>
    <t>DAVY DEE</t>
  </si>
  <si>
    <t>Cash Advance</t>
  </si>
  <si>
    <t>Cash Advanced</t>
  </si>
  <si>
    <t>Monthly</t>
  </si>
  <si>
    <t>Others</t>
  </si>
  <si>
    <t>MLRI -Insurance</t>
  </si>
  <si>
    <t>REFERRED BY: RAYLY CINCO</t>
  </si>
  <si>
    <t>Payment Frequency Options</t>
  </si>
  <si>
    <t>Frequency</t>
  </si>
  <si>
    <t>Payments/yr</t>
  </si>
  <si>
    <t>Months</t>
  </si>
  <si>
    <t>Annual</t>
  </si>
  <si>
    <t>Semi-Annual</t>
  </si>
  <si>
    <t>Quarterly</t>
  </si>
  <si>
    <t>Bi-Monthly</t>
  </si>
  <si>
    <t>Semi-Monthly</t>
  </si>
  <si>
    <t>Bi-Weekly</t>
  </si>
  <si>
    <t>n/a</t>
  </si>
  <si>
    <t>Weekly</t>
  </si>
  <si>
    <t>Chosen:</t>
  </si>
  <si>
    <t>LOAN COMPUTATION SHEET ver2</t>
  </si>
  <si>
    <t>Add On Rate</t>
  </si>
  <si>
    <t>1st payment</t>
  </si>
  <si>
    <t>GROSS AMOUNT</t>
  </si>
  <si>
    <t>NET AMOUNT</t>
  </si>
  <si>
    <t>NOTARIAL</t>
  </si>
  <si>
    <t>MLRI</t>
  </si>
  <si>
    <t>DOCUMENTATION FEE</t>
  </si>
  <si>
    <t>Add amount</t>
  </si>
  <si>
    <t>AMF(bl-sa)</t>
  </si>
  <si>
    <t>%AMF(reg)</t>
  </si>
  <si>
    <t>AMF(reg)</t>
  </si>
  <si>
    <t>TERM</t>
  </si>
  <si>
    <t>ADD ON</t>
  </si>
  <si>
    <t>CONTRACTUAL</t>
  </si>
  <si>
    <t>x12</t>
  </si>
  <si>
    <t>Total OB =</t>
  </si>
  <si>
    <t>Gross Loan =</t>
  </si>
  <si>
    <t>(denominator)</t>
  </si>
  <si>
    <t>(numerator)</t>
  </si>
  <si>
    <t>Gross Loan = Numerator/Denominator</t>
  </si>
  <si>
    <t>TOTAL Charges</t>
  </si>
  <si>
    <t>Documentation fee</t>
  </si>
  <si>
    <t>Yes</t>
  </si>
  <si>
    <t>MLRI  Insurance</t>
  </si>
  <si>
    <t>Notarial</t>
  </si>
  <si>
    <t>Processing fee</t>
  </si>
  <si>
    <t>Add on Rate</t>
  </si>
  <si>
    <t>Net Amount</t>
  </si>
  <si>
    <t>BL-SA</t>
  </si>
  <si>
    <t xml:space="preserve">       </t>
  </si>
  <si>
    <t>No</t>
  </si>
  <si>
    <t>TOTAL OB</t>
  </si>
  <si>
    <t>BLSA-AMF</t>
  </si>
  <si>
    <t xml:space="preserve">DOCUMENTATION </t>
  </si>
  <si>
    <t>Additional Fee (OTHERS)</t>
  </si>
  <si>
    <t>Additional Fee (BLSA)</t>
  </si>
  <si>
    <t>ONLINE (WEBSITE)</t>
  </si>
  <si>
    <t>Semi Monthly</t>
  </si>
  <si>
    <t>Nth Loan</t>
  </si>
  <si>
    <t>Business Loan</t>
  </si>
  <si>
    <t>Interest deduct upfront</t>
  </si>
  <si>
    <t>AMOUNT</t>
  </si>
  <si>
    <t>SML</t>
  </si>
  <si>
    <t>**</t>
  </si>
  <si>
    <t>Auto compute**</t>
  </si>
  <si>
    <t>Miscellaneous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</si>
</sst>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409]mmmm\ d\,\ yyyy;@"/>
    <numFmt numFmtId="165" formatCode="m/d/yy;@"/>
    <numFmt numFmtId="166" formatCode="mm/dd/yy;@"/>
    <numFmt numFmtId="167" formatCode="0.0%"/>
    <numFmt numFmtId="168" formatCode="_(* #,##0.000_);_(* \(#,##0.000\);_(* &quot;-&quot;???_);_(@_)"/>
    <numFmt numFmtId="169" formatCode="0000"/>
    <numFmt numFmtId="170" formatCode="m/d/yyyy;@"/>
    <numFmt numFmtId="171" formatCode="_(* #,##0_);_(* \(#,##0\);_(* &quot;-&quot;??_);_(@_)"/>
    <numFmt numFmtId="172" formatCode="_(\₱* #,##0.00_);_(\₱* \(#,##0.00\);_(\₱* &quot;-&quot;??_);_(@_)"/>
    <numFmt numFmtId="173" formatCode="_(\₱* #,##0_);_(\₱* \(#,##0\);_(\₱* &quot;-&quot;_);_(@_)"/>
  </numFmts>
  <fonts count="87">
    <font>
      <sz val="10"/>
      <name val="Arial"/>
    </font>
    <font>
      <sz val="11"/>
      <color theme="1"/>
      <name val="Calibri"/>
      <family val="2"/>
      <scheme val="minor"/>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sz val="10"/>
      <name val="Arial"/>
      <family val="2"/>
    </font>
    <font>
      <sz val="10"/>
      <name val="Times New Roman"/>
      <family val="1"/>
    </font>
    <font>
      <sz val="14"/>
      <name val="Times New Roman"/>
      <family val="1"/>
    </font>
    <font>
      <b/>
      <sz val="20"/>
      <name val="Century Gothic"/>
      <family val="2"/>
    </font>
    <font>
      <sz val="10"/>
      <name val="Century Gothic"/>
      <family val="2"/>
    </font>
    <font>
      <sz val="10"/>
      <color indexed="15"/>
      <name val="Century Gothic"/>
      <family val="2"/>
    </font>
    <font>
      <b/>
      <sz val="14"/>
      <name val="Century Gothic"/>
      <family val="2"/>
    </font>
    <font>
      <sz val="12"/>
      <name val="Century Gothic"/>
      <family val="2"/>
    </font>
    <font>
      <b/>
      <sz val="12"/>
      <name val="Century Gothic"/>
      <family val="2"/>
    </font>
    <font>
      <b/>
      <sz val="9"/>
      <name val="Century Gothic"/>
      <family val="2"/>
    </font>
    <font>
      <sz val="12"/>
      <color indexed="9"/>
      <name val="Century Gothic"/>
      <family val="2"/>
    </font>
    <font>
      <b/>
      <sz val="10"/>
      <name val="Century Gothic"/>
      <family val="2"/>
    </font>
    <font>
      <sz val="8"/>
      <name val="Century Gothic"/>
      <family val="2"/>
    </font>
    <font>
      <sz val="18"/>
      <name val="Times New Roman"/>
      <family val="1"/>
    </font>
    <font>
      <b/>
      <sz val="16"/>
      <name val="Times New Roman"/>
      <family val="1"/>
    </font>
    <font>
      <sz val="16"/>
      <name val="Century Gothic"/>
      <family val="2"/>
    </font>
    <font>
      <b/>
      <sz val="12"/>
      <name val="Times New Roman"/>
      <family val="1"/>
    </font>
    <font>
      <sz val="16"/>
      <name val="Times New Roman"/>
      <family val="1"/>
    </font>
    <font>
      <b/>
      <i/>
      <sz val="16"/>
      <name val="Times New Roman"/>
      <family val="1"/>
    </font>
    <font>
      <b/>
      <sz val="16"/>
      <color indexed="9"/>
      <name val="Times New Roman"/>
      <family val="1"/>
    </font>
    <font>
      <sz val="16"/>
      <color indexed="8"/>
      <name val="Times New Roman"/>
      <family val="1"/>
    </font>
    <font>
      <sz val="11"/>
      <name val="Times New Roman"/>
      <family val="1"/>
    </font>
    <font>
      <b/>
      <sz val="11"/>
      <name val="Times New Roman"/>
      <family val="1"/>
    </font>
    <font>
      <sz val="11"/>
      <name val="Times New Roman"/>
      <family val="1"/>
    </font>
    <font>
      <sz val="11"/>
      <color indexed="10"/>
      <name val="Times New Roman"/>
      <family val="1"/>
    </font>
    <font>
      <b/>
      <i/>
      <sz val="14"/>
      <name val="Times New Roman"/>
      <family val="1"/>
    </font>
    <font>
      <b/>
      <i/>
      <u/>
      <sz val="12"/>
      <name val="Times New Roman"/>
      <family val="1"/>
    </font>
    <font>
      <sz val="10"/>
      <name val="Arial"/>
      <family val="2"/>
    </font>
    <font>
      <b/>
      <sz val="18"/>
      <name val="Times New Roman"/>
      <family val="1"/>
    </font>
    <font>
      <b/>
      <sz val="14"/>
      <name val="Times New Roman"/>
      <family val="1"/>
    </font>
    <font>
      <b/>
      <sz val="26"/>
      <name val="Times New Roman"/>
      <family val="1"/>
    </font>
    <font>
      <b/>
      <sz val="11"/>
      <color theme="0"/>
      <name val="Calibri"/>
      <family val="2"/>
      <scheme val="minor"/>
    </font>
    <font>
      <b/>
      <sz val="13"/>
      <color theme="3"/>
      <name val="Calibri"/>
      <family val="2"/>
      <scheme val="minor"/>
    </font>
    <font>
      <b/>
      <sz val="11"/>
      <color rgb="FF3F3F3F"/>
      <name val="Calibri"/>
      <family val="2"/>
      <scheme val="minor"/>
    </font>
    <font>
      <sz val="10"/>
      <color theme="0"/>
      <name val="Arial"/>
      <family val="2"/>
    </font>
    <font>
      <b/>
      <sz val="16"/>
      <color rgb="FFFF0000"/>
      <name val="Times New Roman"/>
      <family val="1"/>
    </font>
    <font>
      <sz val="11"/>
      <color rgb="FFFF0000"/>
      <name val="Times New Roman"/>
      <family val="1"/>
    </font>
    <font>
      <b/>
      <sz val="11"/>
      <color rgb="FF3F3F3F"/>
      <name val="Times New Roman"/>
      <family val="1"/>
    </font>
    <font>
      <b/>
      <sz val="11"/>
      <name val="Calibri"/>
      <family val="2"/>
      <scheme val="minor"/>
    </font>
    <font>
      <b/>
      <sz val="14"/>
      <name val="Calibri"/>
      <family val="2"/>
      <scheme val="minor"/>
    </font>
    <font>
      <b/>
      <sz val="11"/>
      <color theme="1"/>
      <name val="Times New Roman"/>
      <family val="1"/>
    </font>
    <font>
      <b/>
      <sz val="14"/>
      <color rgb="FF3F3F3F"/>
      <name val="Times New Roman"/>
      <family val="1"/>
    </font>
    <font>
      <b/>
      <sz val="12"/>
      <color rgb="FF3F3F3F"/>
      <name val="Times New Roman"/>
      <family val="1"/>
    </font>
    <font>
      <b/>
      <sz val="10"/>
      <name val="Comfortaa"/>
      <family val="2"/>
    </font>
    <font>
      <b/>
      <sz val="8"/>
      <name val="Comfortaa"/>
      <family val="2"/>
    </font>
    <font>
      <b/>
      <sz val="9"/>
      <name val="Comfortaa"/>
      <family val="2"/>
    </font>
    <font>
      <sz val="10"/>
      <name val="Comfortaa"/>
      <family val="2"/>
    </font>
    <font>
      <sz val="10"/>
      <color indexed="10"/>
      <name val="Comfortaa"/>
      <family val="2"/>
    </font>
    <font>
      <sz val="8"/>
      <name val="Comfortaa"/>
      <family val="2"/>
    </font>
    <font>
      <b/>
      <sz val="10"/>
      <color indexed="8"/>
      <name val="Comfortaa"/>
      <family val="2"/>
    </font>
    <font>
      <sz val="11"/>
      <name val="Calibri"/>
      <family val="2"/>
    </font>
    <font>
      <b/>
      <sz val="18"/>
      <color indexed="9"/>
      <name val="Calibri"/>
      <family val="2"/>
    </font>
    <font>
      <b/>
      <sz val="10"/>
      <color theme="3" tint="0.59999389629810485"/>
      <name val="Arial"/>
      <family val="2"/>
    </font>
    <font>
      <b/>
      <sz val="12"/>
      <color theme="0"/>
      <name val="ADAM.CG PRO"/>
      <family val="3"/>
    </font>
    <font>
      <b/>
      <sz val="18"/>
      <color theme="1"/>
      <name val="Calibri"/>
      <family val="2"/>
      <scheme val="minor"/>
    </font>
    <font>
      <sz val="18"/>
      <color theme="1"/>
      <name val="Calibri"/>
      <family val="2"/>
      <scheme val="minor"/>
    </font>
    <font>
      <sz val="14"/>
      <color theme="1"/>
      <name val="Calibri"/>
      <family val="2"/>
      <scheme val="minor"/>
    </font>
    <font>
      <b/>
      <sz val="12"/>
      <color rgb="FFFF0000"/>
      <name val="Arial"/>
      <family val="2"/>
    </font>
    <font>
      <i/>
      <sz val="9"/>
      <name val="Arial"/>
      <family val="2"/>
    </font>
    <font>
      <sz val="10"/>
      <color rgb="FFFF0000"/>
      <name val="Arial"/>
      <family val="2"/>
    </font>
    <font>
      <sz val="9"/>
      <name val="Arial"/>
      <family val="2"/>
    </font>
    <font>
      <b/>
      <i/>
      <sz val="12"/>
      <name val="Century Gothic"/>
      <family val="2"/>
    </font>
    <font>
      <b/>
      <sz val="22"/>
      <color rgb="FFFF0000"/>
      <name val="Times New Roman"/>
      <family val="1"/>
    </font>
    <font>
      <b/>
      <sz val="12"/>
      <color rgb="FF000000"/>
      <name val="Arial"/>
      <family val="2"/>
    </font>
    <font>
      <b/>
      <sz val="18"/>
      <color rgb="FFFF0000"/>
      <name val="Arial"/>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6"/>
        <bgColor indexed="64"/>
      </patternFill>
    </fill>
    <fill>
      <patternFill patternType="solid">
        <fgColor indexed="15"/>
        <bgColor indexed="64"/>
      </patternFill>
    </fill>
    <fill>
      <patternFill patternType="solid">
        <fgColor rgb="FFA5A5A5"/>
      </patternFill>
    </fill>
    <fill>
      <patternFill patternType="solid">
        <fgColor rgb="FFF2F2F2"/>
      </patternFill>
    </fill>
    <fill>
      <patternFill patternType="solid">
        <fgColor theme="0" tint="-0.14999847407452621"/>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FFC000"/>
        <bgColor indexed="64"/>
      </patternFill>
    </fill>
  </fills>
  <borders count="5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double">
        <color indexed="64"/>
      </top>
      <bottom/>
      <diagonal/>
    </border>
    <border>
      <left/>
      <right style="thin">
        <color indexed="64"/>
      </right>
      <top style="double">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style="double">
        <color indexed="64"/>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style="thin">
        <color indexed="64"/>
      </left>
      <right/>
      <top/>
      <bottom style="double">
        <color rgb="FF3F3F3F"/>
      </bottom>
      <diagonal/>
    </border>
    <border>
      <left/>
      <right/>
      <top/>
      <bottom style="double">
        <color rgb="FF3F3F3F"/>
      </bottom>
      <diagonal/>
    </border>
    <border>
      <left/>
      <right style="thin">
        <color indexed="64"/>
      </right>
      <top/>
      <bottom style="double">
        <color rgb="FF3F3F3F"/>
      </bottom>
      <diagonal/>
    </border>
    <border>
      <left/>
      <right/>
      <top/>
      <bottom style="medium">
        <color theme="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double">
        <color rgb="FF3F3F3F"/>
      </left>
      <right style="double">
        <color rgb="FF3F3F3F"/>
      </right>
      <top style="double">
        <color rgb="FF3F3F3F"/>
      </top>
      <bottom style="double">
        <color indexed="64"/>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theme="1"/>
      </left>
      <right/>
      <top/>
      <bottom/>
      <diagonal/>
    </border>
    <border>
      <left/>
      <right style="thin">
        <color theme="1"/>
      </right>
      <top/>
      <bottom/>
      <diagonal/>
    </border>
    <border>
      <left style="thin">
        <color indexed="64"/>
      </left>
      <right/>
      <top style="double">
        <color rgb="FF3F3F3F"/>
      </top>
      <bottom/>
      <diagonal/>
    </border>
    <border>
      <left/>
      <right/>
      <top style="double">
        <color rgb="FF3F3F3F"/>
      </top>
      <bottom/>
      <diagonal/>
    </border>
    <border>
      <left/>
      <right style="thin">
        <color indexed="64"/>
      </right>
      <top style="double">
        <color rgb="FF3F3F3F"/>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5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53" fillId="26" borderId="32" applyNumberFormat="0" applyAlignment="0" applyProtection="0"/>
    <xf numFmtId="43" fontId="2" fillId="0" borderId="0" applyFont="0" applyFill="0" applyBorder="0" applyAlignment="0" applyProtection="0"/>
    <xf numFmtId="43" fontId="43" fillId="0" borderId="0" applyFont="0" applyFill="0" applyBorder="0" applyAlignment="0" applyProtection="0"/>
    <xf numFmtId="44" fontId="43" fillId="0" borderId="0" applyFon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54" fillId="0" borderId="33"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43" fillId="0" borderId="0"/>
    <xf numFmtId="0" fontId="2" fillId="23" borderId="7" applyNumberFormat="0" applyFont="0" applyAlignment="0" applyProtection="0"/>
    <xf numFmtId="0" fontId="17" fillId="20" borderId="8" applyNumberFormat="0" applyAlignment="0" applyProtection="0"/>
    <xf numFmtId="0" fontId="55" fillId="27" borderId="34" applyNumberFormat="0" applyAlignment="0" applyProtection="0"/>
    <xf numFmtId="9" fontId="2" fillId="0" borderId="0" applyFont="0" applyFill="0" applyBorder="0" applyAlignment="0" applyProtection="0"/>
    <xf numFmtId="9" fontId="43" fillId="0" borderId="0" applyFont="0" applyFill="0" applyBorder="0" applyAlignment="0" applyProtection="0"/>
    <xf numFmtId="0" fontId="49" fillId="0" borderId="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 fillId="0" borderId="0"/>
  </cellStyleXfs>
  <cellXfs count="457">
    <xf numFmtId="0" fontId="0" fillId="0" borderId="0" xfId="0"/>
    <xf numFmtId="0" fontId="22" fillId="0" borderId="0" xfId="0" applyFont="1"/>
    <xf numFmtId="0" fontId="19" fillId="0" borderId="10" xfId="0" applyFont="1" applyBorder="1"/>
    <xf numFmtId="0" fontId="26" fillId="0" borderId="0" xfId="0" applyFont="1"/>
    <xf numFmtId="0" fontId="27" fillId="0" borderId="0" xfId="0" applyFont="1"/>
    <xf numFmtId="0" fontId="25" fillId="0" borderId="0" xfId="0" applyFont="1" applyAlignment="1">
      <alignment horizontal="center"/>
    </xf>
    <xf numFmtId="0" fontId="26" fillId="0" borderId="0" xfId="0" applyFont="1" applyAlignment="1">
      <alignment horizontal="center"/>
    </xf>
    <xf numFmtId="0" fontId="28" fillId="0" borderId="0" xfId="0" applyFont="1" applyAlignment="1">
      <alignment horizontal="center"/>
    </xf>
    <xf numFmtId="0" fontId="29" fillId="0" borderId="0" xfId="0" applyFont="1"/>
    <xf numFmtId="1" fontId="29" fillId="0" borderId="0" xfId="0" applyNumberFormat="1" applyFont="1" applyAlignment="1">
      <alignment wrapText="1"/>
    </xf>
    <xf numFmtId="0" fontId="29" fillId="0" borderId="0" xfId="0" applyFont="1" applyAlignment="1">
      <alignment wrapText="1"/>
    </xf>
    <xf numFmtId="14" fontId="29" fillId="0" borderId="0" xfId="0" applyNumberFormat="1" applyFont="1"/>
    <xf numFmtId="1" fontId="29" fillId="0" borderId="0" xfId="0" applyNumberFormat="1" applyFont="1" applyAlignment="1">
      <alignment horizontal="left"/>
    </xf>
    <xf numFmtId="16" fontId="26" fillId="0" borderId="0" xfId="0" applyNumberFormat="1" applyFont="1"/>
    <xf numFmtId="0" fontId="30" fillId="0" borderId="0" xfId="0" applyFont="1" applyAlignment="1">
      <alignment horizontal="center"/>
    </xf>
    <xf numFmtId="43" fontId="29" fillId="0" borderId="0" xfId="29" applyFont="1" applyBorder="1"/>
    <xf numFmtId="164" fontId="31" fillId="0" borderId="0" xfId="0" applyNumberFormat="1" applyFont="1"/>
    <xf numFmtId="43" fontId="29" fillId="0" borderId="0" xfId="0" applyNumberFormat="1" applyFont="1"/>
    <xf numFmtId="168" fontId="32" fillId="0" borderId="0" xfId="0" applyNumberFormat="1" applyFont="1"/>
    <xf numFmtId="2" fontId="29" fillId="0" borderId="0" xfId="0" applyNumberFormat="1" applyFont="1"/>
    <xf numFmtId="165" fontId="29" fillId="0" borderId="0" xfId="0" applyNumberFormat="1" applyFont="1"/>
    <xf numFmtId="43" fontId="26" fillId="0" borderId="0" xfId="0" applyNumberFormat="1" applyFont="1"/>
    <xf numFmtId="14" fontId="31" fillId="0" borderId="0" xfId="0" applyNumberFormat="1" applyFont="1"/>
    <xf numFmtId="164" fontId="33" fillId="24" borderId="0" xfId="0" applyNumberFormat="1" applyFont="1" applyFill="1" applyAlignment="1">
      <alignment horizontal="right"/>
    </xf>
    <xf numFmtId="0" fontId="30" fillId="0" borderId="0" xfId="0" applyFont="1"/>
    <xf numFmtId="0" fontId="30" fillId="24" borderId="11" xfId="0" applyFont="1" applyFill="1" applyBorder="1"/>
    <xf numFmtId="0" fontId="29" fillId="24" borderId="11" xfId="0" applyFont="1" applyFill="1" applyBorder="1"/>
    <xf numFmtId="0" fontId="26" fillId="25" borderId="0" xfId="0" applyFont="1" applyFill="1"/>
    <xf numFmtId="0" fontId="27" fillId="25" borderId="0" xfId="0" applyFont="1" applyFill="1"/>
    <xf numFmtId="43" fontId="29" fillId="24" borderId="11" xfId="29" applyFont="1" applyFill="1" applyBorder="1"/>
    <xf numFmtId="39" fontId="29" fillId="24" borderId="11" xfId="29" applyNumberFormat="1" applyFont="1" applyFill="1" applyBorder="1" applyAlignment="1">
      <alignment horizontal="center"/>
    </xf>
    <xf numFmtId="0" fontId="33" fillId="24" borderId="11" xfId="0" applyFont="1" applyFill="1" applyBorder="1"/>
    <xf numFmtId="164" fontId="33" fillId="24" borderId="11" xfId="0" applyNumberFormat="1" applyFont="1" applyFill="1" applyBorder="1"/>
    <xf numFmtId="39" fontId="26" fillId="0" borderId="0" xfId="0" applyNumberFormat="1" applyFont="1"/>
    <xf numFmtId="0" fontId="34" fillId="0" borderId="0" xfId="0" applyFont="1"/>
    <xf numFmtId="0" fontId="19" fillId="0" borderId="12" xfId="0" applyFont="1" applyBorder="1"/>
    <xf numFmtId="0" fontId="35" fillId="0" borderId="0" xfId="0" applyFont="1" applyAlignment="1">
      <alignment horizontal="center" vertical="center"/>
    </xf>
    <xf numFmtId="0" fontId="24" fillId="0" borderId="0" xfId="0" applyFont="1"/>
    <xf numFmtId="0" fontId="37" fillId="0" borderId="0" xfId="0" applyFont="1" applyAlignment="1">
      <alignment wrapText="1"/>
    </xf>
    <xf numFmtId="0" fontId="37" fillId="0" borderId="0" xfId="0" applyFont="1"/>
    <xf numFmtId="0" fontId="38" fillId="0" borderId="0" xfId="0" applyFont="1"/>
    <xf numFmtId="0" fontId="36" fillId="0" borderId="0" xfId="0" applyFont="1" applyAlignment="1">
      <alignment horizontal="right" wrapText="1"/>
    </xf>
    <xf numFmtId="0" fontId="39" fillId="0" borderId="0" xfId="0" applyFont="1" applyAlignment="1">
      <alignment wrapText="1"/>
    </xf>
    <xf numFmtId="0" fontId="36" fillId="0" borderId="0" xfId="0" applyFont="1" applyAlignment="1">
      <alignment wrapText="1"/>
    </xf>
    <xf numFmtId="1" fontId="39" fillId="0" borderId="0" xfId="0" applyNumberFormat="1" applyFont="1"/>
    <xf numFmtId="0" fontId="39" fillId="0" borderId="0" xfId="0" applyFont="1" applyAlignment="1">
      <alignment horizontal="center" wrapText="1"/>
    </xf>
    <xf numFmtId="0" fontId="39" fillId="0" borderId="0" xfId="0" applyFont="1" applyAlignment="1">
      <alignment horizontal="left" wrapText="1"/>
    </xf>
    <xf numFmtId="1" fontId="39" fillId="0" borderId="0" xfId="0" applyNumberFormat="1" applyFont="1" applyAlignment="1">
      <alignment horizontal="center" wrapText="1"/>
    </xf>
    <xf numFmtId="0" fontId="39" fillId="0" borderId="0" xfId="0" applyFont="1" applyAlignment="1">
      <alignment shrinkToFit="1"/>
    </xf>
    <xf numFmtId="10" fontId="39" fillId="0" borderId="0" xfId="0" applyNumberFormat="1" applyFont="1" applyAlignment="1">
      <alignment shrinkToFit="1"/>
    </xf>
    <xf numFmtId="14" fontId="39" fillId="0" borderId="0" xfId="0" applyNumberFormat="1" applyFont="1" applyAlignment="1">
      <alignment horizontal="center" wrapText="1"/>
    </xf>
    <xf numFmtId="170" fontId="39" fillId="0" borderId="0" xfId="0" applyNumberFormat="1" applyFont="1" applyAlignment="1">
      <alignment horizontal="center"/>
    </xf>
    <xf numFmtId="0" fontId="39" fillId="0" borderId="0" xfId="0" applyFont="1" applyAlignment="1">
      <alignment vertical="center" wrapText="1"/>
    </xf>
    <xf numFmtId="0" fontId="39" fillId="0" borderId="0" xfId="0" applyFont="1" applyAlignment="1">
      <alignment horizontal="right" shrinkToFit="1"/>
    </xf>
    <xf numFmtId="0" fontId="39" fillId="0" borderId="0" xfId="0" applyFont="1"/>
    <xf numFmtId="0" fontId="36" fillId="0" borderId="0" xfId="0" applyFont="1"/>
    <xf numFmtId="43" fontId="39" fillId="0" borderId="12" xfId="29" applyFont="1" applyBorder="1" applyProtection="1"/>
    <xf numFmtId="0" fontId="39" fillId="0" borderId="12" xfId="0" applyFont="1" applyBorder="1"/>
    <xf numFmtId="0" fontId="39" fillId="0" borderId="13" xfId="0" applyFont="1" applyBorder="1"/>
    <xf numFmtId="10" fontId="39" fillId="0" borderId="0" xfId="0" applyNumberFormat="1" applyFont="1"/>
    <xf numFmtId="43" fontId="39" fillId="0" borderId="0" xfId="29" applyFont="1" applyBorder="1" applyAlignment="1" applyProtection="1"/>
    <xf numFmtId="43" fontId="39" fillId="0" borderId="12" xfId="29" applyFont="1" applyBorder="1" applyAlignment="1" applyProtection="1"/>
    <xf numFmtId="0" fontId="39" fillId="0" borderId="13" xfId="0" applyFont="1" applyBorder="1" applyAlignment="1">
      <alignment horizontal="left"/>
    </xf>
    <xf numFmtId="0" fontId="39" fillId="0" borderId="0" xfId="0" applyFont="1" applyAlignment="1">
      <alignment horizontal="left"/>
    </xf>
    <xf numFmtId="10" fontId="39" fillId="0" borderId="0" xfId="0" applyNumberFormat="1" applyFont="1" applyAlignment="1">
      <alignment horizontal="left"/>
    </xf>
    <xf numFmtId="43" fontId="39" fillId="0" borderId="0" xfId="0" applyNumberFormat="1" applyFont="1"/>
    <xf numFmtId="0" fontId="39" fillId="0" borderId="14" xfId="0" applyFont="1" applyBorder="1"/>
    <xf numFmtId="43" fontId="39" fillId="0" borderId="15" xfId="0" applyNumberFormat="1" applyFont="1" applyBorder="1"/>
    <xf numFmtId="0" fontId="40" fillId="0" borderId="0" xfId="0" applyFont="1"/>
    <xf numFmtId="43" fontId="39" fillId="0" borderId="0" xfId="29" applyFont="1" applyAlignment="1" applyProtection="1">
      <alignment horizontal="right"/>
    </xf>
    <xf numFmtId="43" fontId="39" fillId="0" borderId="0" xfId="29" applyFont="1" applyProtection="1"/>
    <xf numFmtId="43" fontId="39" fillId="0" borderId="16" xfId="29" applyFont="1" applyBorder="1" applyProtection="1"/>
    <xf numFmtId="43" fontId="39" fillId="0" borderId="17" xfId="0" applyNumberFormat="1" applyFont="1" applyBorder="1"/>
    <xf numFmtId="0" fontId="39" fillId="0" borderId="18" xfId="0" applyFont="1" applyBorder="1"/>
    <xf numFmtId="10" fontId="39" fillId="0" borderId="17" xfId="0" applyNumberFormat="1" applyFont="1" applyBorder="1"/>
    <xf numFmtId="10" fontId="39" fillId="0" borderId="19" xfId="0" applyNumberFormat="1" applyFont="1" applyBorder="1"/>
    <xf numFmtId="165" fontId="39" fillId="0" borderId="13" xfId="0" applyNumberFormat="1" applyFont="1" applyBorder="1"/>
    <xf numFmtId="0" fontId="36" fillId="0" borderId="11" xfId="0" applyFont="1" applyBorder="1"/>
    <xf numFmtId="0" fontId="36" fillId="0" borderId="20" xfId="0" applyFont="1" applyBorder="1"/>
    <xf numFmtId="0" fontId="39" fillId="0" borderId="21" xfId="0" applyFont="1" applyBorder="1"/>
    <xf numFmtId="0" fontId="39" fillId="0" borderId="22" xfId="0" applyFont="1" applyBorder="1"/>
    <xf numFmtId="0" fontId="41" fillId="0" borderId="22" xfId="0" applyFont="1" applyBorder="1"/>
    <xf numFmtId="0" fontId="36" fillId="0" borderId="23" xfId="0" applyFont="1" applyBorder="1"/>
    <xf numFmtId="0" fontId="39" fillId="0" borderId="24" xfId="0" applyFont="1" applyBorder="1"/>
    <xf numFmtId="43" fontId="39" fillId="0" borderId="24" xfId="29" applyFont="1" applyBorder="1" applyProtection="1"/>
    <xf numFmtId="43" fontId="39" fillId="0" borderId="0" xfId="29" applyFont="1" applyBorder="1" applyProtection="1"/>
    <xf numFmtId="0" fontId="39" fillId="0" borderId="25" xfId="0" applyFont="1" applyBorder="1"/>
    <xf numFmtId="43" fontId="39" fillId="0" borderId="25" xfId="29" applyFont="1" applyBorder="1" applyProtection="1"/>
    <xf numFmtId="0" fontId="39" fillId="0" borderId="26" xfId="0" applyFont="1" applyBorder="1"/>
    <xf numFmtId="0" fontId="41" fillId="0" borderId="27" xfId="0" applyFont="1" applyBorder="1"/>
    <xf numFmtId="0" fontId="41" fillId="0" borderId="0" xfId="0" applyFont="1"/>
    <xf numFmtId="0" fontId="41" fillId="0" borderId="12" xfId="0" applyFont="1" applyBorder="1"/>
    <xf numFmtId="43" fontId="39" fillId="0" borderId="13" xfId="29" applyFont="1" applyBorder="1" applyProtection="1"/>
    <xf numFmtId="43" fontId="39" fillId="0" borderId="22" xfId="29" applyFont="1" applyBorder="1" applyProtection="1"/>
    <xf numFmtId="0" fontId="39" fillId="0" borderId="27" xfId="0" applyFont="1" applyBorder="1"/>
    <xf numFmtId="43" fontId="39" fillId="0" borderId="27" xfId="29" applyFont="1" applyBorder="1" applyProtection="1"/>
    <xf numFmtId="43" fontId="39" fillId="0" borderId="23" xfId="29" applyFont="1" applyBorder="1" applyProtection="1"/>
    <xf numFmtId="43" fontId="57" fillId="0" borderId="23" xfId="29" applyFont="1" applyBorder="1" applyProtection="1"/>
    <xf numFmtId="0" fontId="39" fillId="0" borderId="11" xfId="0" applyFont="1" applyBorder="1"/>
    <xf numFmtId="43" fontId="39" fillId="0" borderId="11" xfId="29" applyFont="1" applyBorder="1" applyProtection="1"/>
    <xf numFmtId="43" fontId="39" fillId="0" borderId="28" xfId="29" applyFont="1" applyBorder="1" applyProtection="1"/>
    <xf numFmtId="43" fontId="39" fillId="0" borderId="26" xfId="29" applyFont="1" applyBorder="1" applyProtection="1"/>
    <xf numFmtId="14" fontId="39" fillId="0" borderId="0" xfId="0" applyNumberFormat="1" applyFont="1" applyAlignment="1">
      <alignment wrapText="1"/>
    </xf>
    <xf numFmtId="170" fontId="39" fillId="0" borderId="0" xfId="0" applyNumberFormat="1" applyFont="1"/>
    <xf numFmtId="0" fontId="36" fillId="0" borderId="21" xfId="0" applyFont="1" applyBorder="1"/>
    <xf numFmtId="164" fontId="42" fillId="0" borderId="22" xfId="0" applyNumberFormat="1" applyFont="1" applyBorder="1" applyProtection="1">
      <protection locked="0"/>
    </xf>
    <xf numFmtId="164" fontId="42" fillId="0" borderId="0" xfId="0" applyNumberFormat="1" applyFont="1" applyProtection="1">
      <protection locked="0"/>
    </xf>
    <xf numFmtId="1" fontId="39" fillId="0" borderId="0" xfId="0" applyNumberFormat="1" applyFont="1" applyAlignment="1">
      <alignment wrapText="1"/>
    </xf>
    <xf numFmtId="0" fontId="43" fillId="0" borderId="0" xfId="42"/>
    <xf numFmtId="0" fontId="43" fillId="0" borderId="23" xfId="42" applyBorder="1"/>
    <xf numFmtId="0" fontId="44" fillId="0" borderId="0" xfId="42" applyFont="1" applyAlignment="1">
      <alignment horizontal="centerContinuous"/>
    </xf>
    <xf numFmtId="0" fontId="45" fillId="0" borderId="23" xfId="42" applyFont="1" applyBorder="1"/>
    <xf numFmtId="43" fontId="0" fillId="0" borderId="0" xfId="30" applyFont="1" applyProtection="1"/>
    <xf numFmtId="0" fontId="43" fillId="0" borderId="0" xfId="42" applyAlignment="1">
      <alignment horizontal="center"/>
    </xf>
    <xf numFmtId="43" fontId="43" fillId="0" borderId="0" xfId="42" applyNumberFormat="1"/>
    <xf numFmtId="0" fontId="43" fillId="0" borderId="0" xfId="42" quotePrefix="1"/>
    <xf numFmtId="0" fontId="46" fillId="0" borderId="0" xfId="42" applyFont="1"/>
    <xf numFmtId="43" fontId="0" fillId="0" borderId="0" xfId="30" applyFont="1" applyBorder="1" applyProtection="1"/>
    <xf numFmtId="0" fontId="45" fillId="0" borderId="21" xfId="42" applyFont="1" applyBorder="1" applyAlignment="1">
      <alignment horizontal="center"/>
    </xf>
    <xf numFmtId="0" fontId="43" fillId="0" borderId="22" xfId="42" applyBorder="1" applyAlignment="1">
      <alignment horizontal="center"/>
    </xf>
    <xf numFmtId="0" fontId="43" fillId="0" borderId="27" xfId="42" applyBorder="1" applyAlignment="1">
      <alignment horizontal="center"/>
    </xf>
    <xf numFmtId="43" fontId="45" fillId="0" borderId="21" xfId="30" applyFont="1" applyBorder="1" applyProtection="1"/>
    <xf numFmtId="0" fontId="43" fillId="0" borderId="22" xfId="42" applyBorder="1"/>
    <xf numFmtId="0" fontId="43" fillId="0" borderId="23" xfId="42" applyBorder="1" applyAlignment="1">
      <alignment horizontal="center"/>
    </xf>
    <xf numFmtId="0" fontId="43" fillId="0" borderId="12" xfId="42" applyBorder="1" applyAlignment="1">
      <alignment horizontal="center"/>
    </xf>
    <xf numFmtId="43" fontId="0" fillId="0" borderId="23" xfId="30" applyFont="1" applyBorder="1" applyProtection="1"/>
    <xf numFmtId="0" fontId="43" fillId="0" borderId="26" xfId="42" applyBorder="1" applyAlignment="1">
      <alignment horizontal="center"/>
    </xf>
    <xf numFmtId="43" fontId="0" fillId="0" borderId="28" xfId="30" applyFont="1" applyBorder="1" applyProtection="1"/>
    <xf numFmtId="0" fontId="43" fillId="0" borderId="13" xfId="42" applyBorder="1"/>
    <xf numFmtId="0" fontId="45" fillId="0" borderId="21" xfId="42" applyFont="1" applyBorder="1" applyAlignment="1">
      <alignment horizontal="left"/>
    </xf>
    <xf numFmtId="0" fontId="43" fillId="0" borderId="23" xfId="42" applyBorder="1" applyAlignment="1">
      <alignment horizontal="left"/>
    </xf>
    <xf numFmtId="0" fontId="43" fillId="0" borderId="28" xfId="42" applyBorder="1" applyAlignment="1">
      <alignment horizontal="left"/>
    </xf>
    <xf numFmtId="0" fontId="43" fillId="0" borderId="26" xfId="42" applyBorder="1"/>
    <xf numFmtId="0" fontId="43" fillId="0" borderId="28" xfId="42" applyBorder="1"/>
    <xf numFmtId="0" fontId="58" fillId="0" borderId="0" xfId="42" applyFont="1" applyAlignment="1">
      <alignment horizontal="center"/>
    </xf>
    <xf numFmtId="0" fontId="33" fillId="24" borderId="10" xfId="0" applyFont="1" applyFill="1" applyBorder="1"/>
    <xf numFmtId="0" fontId="29" fillId="24" borderId="10" xfId="0" applyFont="1" applyFill="1" applyBorder="1"/>
    <xf numFmtId="0" fontId="45" fillId="0" borderId="0" xfId="42" applyFont="1"/>
    <xf numFmtId="43" fontId="43" fillId="0" borderId="0" xfId="29" applyFont="1" applyProtection="1"/>
    <xf numFmtId="0" fontId="43" fillId="0" borderId="14" xfId="42" applyBorder="1"/>
    <xf numFmtId="0" fontId="43" fillId="0" borderId="14" xfId="42" applyBorder="1" applyAlignment="1">
      <alignment horizontal="right"/>
    </xf>
    <xf numFmtId="0" fontId="43" fillId="0" borderId="13" xfId="42" applyBorder="1" applyAlignment="1">
      <alignment horizontal="right"/>
    </xf>
    <xf numFmtId="0" fontId="43" fillId="0" borderId="0" xfId="42" applyAlignment="1">
      <alignment horizontal="centerContinuous"/>
    </xf>
    <xf numFmtId="43" fontId="0" fillId="0" borderId="0" xfId="31" applyNumberFormat="1" applyFont="1" applyBorder="1" applyProtection="1"/>
    <xf numFmtId="0" fontId="43" fillId="0" borderId="27" xfId="42" applyBorder="1"/>
    <xf numFmtId="0" fontId="43" fillId="0" borderId="12" xfId="42" applyBorder="1"/>
    <xf numFmtId="43" fontId="43" fillId="0" borderId="0" xfId="29" applyFont="1" applyBorder="1" applyProtection="1"/>
    <xf numFmtId="43" fontId="45" fillId="0" borderId="22" xfId="30" applyFont="1" applyBorder="1" applyProtection="1"/>
    <xf numFmtId="43" fontId="0" fillId="0" borderId="13" xfId="30" applyFont="1" applyBorder="1" applyProtection="1"/>
    <xf numFmtId="0" fontId="45" fillId="0" borderId="22" xfId="42" applyFont="1" applyBorder="1" applyAlignment="1">
      <alignment horizontal="left"/>
    </xf>
    <xf numFmtId="167" fontId="43" fillId="0" borderId="0" xfId="46" applyNumberFormat="1" applyFont="1" applyProtection="1"/>
    <xf numFmtId="10" fontId="43" fillId="0" borderId="0" xfId="46" applyNumberFormat="1" applyFont="1" applyProtection="1"/>
    <xf numFmtId="9" fontId="43" fillId="0" borderId="0" xfId="46" applyFont="1" applyProtection="1"/>
    <xf numFmtId="43" fontId="45" fillId="0" borderId="0" xfId="29" applyFont="1" applyProtection="1"/>
    <xf numFmtId="43" fontId="58" fillId="0" borderId="0" xfId="29" applyFont="1" applyProtection="1"/>
    <xf numFmtId="43" fontId="58" fillId="0" borderId="13" xfId="29" applyFont="1" applyBorder="1" applyProtection="1"/>
    <xf numFmtId="0" fontId="59" fillId="27" borderId="35" xfId="45" applyNumberFormat="1" applyFont="1" applyBorder="1" applyAlignment="1" applyProtection="1">
      <alignment horizontal="center"/>
    </xf>
    <xf numFmtId="43" fontId="59" fillId="27" borderId="35" xfId="45" applyNumberFormat="1" applyFont="1" applyBorder="1" applyProtection="1"/>
    <xf numFmtId="171" fontId="59" fillId="27" borderId="35" xfId="45" applyNumberFormat="1" applyFont="1" applyBorder="1" applyProtection="1"/>
    <xf numFmtId="10" fontId="59" fillId="27" borderId="35" xfId="46" applyNumberFormat="1" applyFont="1" applyFill="1" applyBorder="1" applyProtection="1"/>
    <xf numFmtId="164" fontId="45" fillId="0" borderId="0" xfId="42" applyNumberFormat="1" applyFont="1" applyAlignment="1">
      <alignment horizontal="center"/>
    </xf>
    <xf numFmtId="43" fontId="43" fillId="0" borderId="0" xfId="42" applyNumberFormat="1" applyAlignment="1">
      <alignment horizontal="center"/>
    </xf>
    <xf numFmtId="43" fontId="0" fillId="0" borderId="12" xfId="30" applyFont="1" applyBorder="1" applyProtection="1"/>
    <xf numFmtId="164" fontId="43" fillId="0" borderId="0" xfId="42" applyNumberFormat="1" applyAlignment="1">
      <alignment horizontal="left"/>
    </xf>
    <xf numFmtId="43" fontId="43" fillId="0" borderId="12" xfId="42" applyNumberFormat="1" applyBorder="1"/>
    <xf numFmtId="0" fontId="43" fillId="0" borderId="28" xfId="42" applyBorder="1" applyAlignment="1">
      <alignment horizontal="center"/>
    </xf>
    <xf numFmtId="0" fontId="43" fillId="0" borderId="13" xfId="42" applyBorder="1" applyAlignment="1">
      <alignment horizontal="center"/>
    </xf>
    <xf numFmtId="43" fontId="43" fillId="0" borderId="26" xfId="42" applyNumberFormat="1" applyBorder="1"/>
    <xf numFmtId="0" fontId="60" fillId="26" borderId="32" xfId="28" applyFont="1" applyAlignment="1" applyProtection="1">
      <alignment horizontal="center"/>
    </xf>
    <xf numFmtId="0" fontId="44" fillId="0" borderId="0" xfId="42" applyFont="1" applyAlignment="1">
      <alignment horizontal="center" vertical="center"/>
    </xf>
    <xf numFmtId="0" fontId="54" fillId="0" borderId="0" xfId="36" applyBorder="1" applyAlignment="1" applyProtection="1"/>
    <xf numFmtId="0" fontId="54" fillId="0" borderId="0" xfId="36" applyBorder="1" applyProtection="1"/>
    <xf numFmtId="0" fontId="45" fillId="0" borderId="21" xfId="42" applyFont="1" applyBorder="1"/>
    <xf numFmtId="0" fontId="47" fillId="0" borderId="0" xfId="0" applyFont="1"/>
    <xf numFmtId="0" fontId="45" fillId="0" borderId="0" xfId="42" applyFont="1" applyAlignment="1">
      <alignment horizontal="left" vertical="center"/>
    </xf>
    <xf numFmtId="10" fontId="44" fillId="0" borderId="0" xfId="46" applyNumberFormat="1" applyFont="1" applyAlignment="1" applyProtection="1">
      <alignment horizontal="left" vertical="center"/>
    </xf>
    <xf numFmtId="14" fontId="44" fillId="0" borderId="0" xfId="42" applyNumberFormat="1" applyFont="1" applyAlignment="1">
      <alignment horizontal="right" vertical="center"/>
    </xf>
    <xf numFmtId="0" fontId="48" fillId="0" borderId="0" xfId="42" applyFont="1" applyAlignment="1">
      <alignment horizontal="center"/>
    </xf>
    <xf numFmtId="0" fontId="45" fillId="0" borderId="0" xfId="42" applyFont="1" applyAlignment="1">
      <alignment horizontal="center" vertical="center"/>
    </xf>
    <xf numFmtId="10" fontId="59" fillId="28" borderId="35" xfId="45" applyNumberFormat="1" applyFont="1" applyFill="1" applyBorder="1" applyProtection="1">
      <protection locked="0"/>
    </xf>
    <xf numFmtId="9" fontId="43" fillId="0" borderId="0" xfId="46" applyFont="1" applyAlignment="1" applyProtection="1">
      <alignment horizontal="left"/>
    </xf>
    <xf numFmtId="0" fontId="39" fillId="0" borderId="0" xfId="0" applyFont="1" applyAlignment="1">
      <alignment horizontal="left" shrinkToFit="1"/>
    </xf>
    <xf numFmtId="14" fontId="43" fillId="0" borderId="0" xfId="42" applyNumberFormat="1"/>
    <xf numFmtId="0" fontId="26" fillId="0" borderId="18" xfId="0" applyFont="1" applyBorder="1"/>
    <xf numFmtId="0" fontId="26" fillId="0" borderId="12" xfId="0" applyFont="1" applyBorder="1"/>
    <xf numFmtId="10" fontId="39" fillId="0" borderId="10" xfId="0" applyNumberFormat="1" applyFont="1" applyBorder="1"/>
    <xf numFmtId="10" fontId="39" fillId="0" borderId="10" xfId="46" applyNumberFormat="1" applyFont="1" applyBorder="1" applyProtection="1"/>
    <xf numFmtId="164" fontId="43" fillId="0" borderId="0" xfId="42" applyNumberFormat="1" applyAlignment="1">
      <alignment horizontal="center"/>
    </xf>
    <xf numFmtId="164" fontId="43" fillId="0" borderId="13" xfId="42" applyNumberFormat="1" applyBorder="1" applyAlignment="1">
      <alignment horizontal="center"/>
    </xf>
    <xf numFmtId="43" fontId="39" fillId="0" borderId="0" xfId="29" applyFont="1" applyBorder="1" applyAlignment="1" applyProtection="1">
      <alignment horizontal="center"/>
    </xf>
    <xf numFmtId="0" fontId="36" fillId="0" borderId="22" xfId="0" applyFont="1" applyBorder="1"/>
    <xf numFmtId="0" fontId="36" fillId="0" borderId="27" xfId="0" applyFont="1" applyBorder="1"/>
    <xf numFmtId="43" fontId="39" fillId="0" borderId="36" xfId="29" applyFont="1" applyBorder="1" applyAlignment="1" applyProtection="1"/>
    <xf numFmtId="43" fontId="39" fillId="0" borderId="37" xfId="29" applyFont="1" applyBorder="1" applyAlignment="1" applyProtection="1"/>
    <xf numFmtId="43" fontId="39" fillId="0" borderId="38" xfId="29" applyFont="1" applyBorder="1" applyAlignment="1" applyProtection="1"/>
    <xf numFmtId="0" fontId="43" fillId="0" borderId="0" xfId="42" applyAlignment="1">
      <alignment vertical="center"/>
    </xf>
    <xf numFmtId="14" fontId="44" fillId="0" borderId="0" xfId="42" applyNumberFormat="1" applyFont="1" applyAlignment="1">
      <alignment horizontal="left" vertical="center"/>
    </xf>
    <xf numFmtId="0" fontId="0" fillId="0" borderId="39" xfId="0" applyBorder="1"/>
    <xf numFmtId="164" fontId="42" fillId="0" borderId="40" xfId="0" applyNumberFormat="1" applyFont="1" applyBorder="1"/>
    <xf numFmtId="166" fontId="39" fillId="0" borderId="0" xfId="0" applyNumberFormat="1" applyFont="1"/>
    <xf numFmtId="43" fontId="39" fillId="0" borderId="40" xfId="29" applyFont="1" applyBorder="1" applyProtection="1"/>
    <xf numFmtId="0" fontId="39" fillId="0" borderId="40" xfId="0" applyFont="1" applyBorder="1"/>
    <xf numFmtId="43" fontId="39" fillId="0" borderId="40" xfId="29" applyFont="1" applyBorder="1" applyAlignment="1" applyProtection="1"/>
    <xf numFmtId="0" fontId="39" fillId="0" borderId="41" xfId="0" applyFont="1" applyBorder="1"/>
    <xf numFmtId="43" fontId="39" fillId="0" borderId="41" xfId="29" applyFont="1" applyBorder="1" applyProtection="1"/>
    <xf numFmtId="43" fontId="39" fillId="29" borderId="40" xfId="29" applyFont="1" applyFill="1" applyBorder="1" applyAlignment="1"/>
    <xf numFmtId="39" fontId="39" fillId="29" borderId="40" xfId="29" applyNumberFormat="1" applyFont="1" applyFill="1" applyBorder="1" applyAlignment="1"/>
    <xf numFmtId="0" fontId="0" fillId="0" borderId="29" xfId="0" applyBorder="1"/>
    <xf numFmtId="43" fontId="36" fillId="28" borderId="40" xfId="29" applyFont="1" applyFill="1" applyBorder="1" applyAlignment="1" applyProtection="1"/>
    <xf numFmtId="0" fontId="36" fillId="26" borderId="42" xfId="28" applyFont="1" applyBorder="1" applyAlignment="1" applyProtection="1">
      <alignment horizontal="center"/>
    </xf>
    <xf numFmtId="0" fontId="29" fillId="0" borderId="27" xfId="0" applyFont="1" applyBorder="1"/>
    <xf numFmtId="0" fontId="29" fillId="0" borderId="12" xfId="0" applyFont="1" applyBorder="1" applyAlignment="1">
      <alignment wrapText="1"/>
    </xf>
    <xf numFmtId="0" fontId="29" fillId="0" borderId="26" xfId="0" applyFont="1" applyBorder="1" applyAlignment="1">
      <alignment wrapText="1"/>
    </xf>
    <xf numFmtId="0" fontId="36" fillId="28" borderId="40" xfId="28" applyFont="1" applyFill="1" applyBorder="1" applyAlignment="1" applyProtection="1">
      <alignment horizontal="center"/>
    </xf>
    <xf numFmtId="0" fontId="36" fillId="29" borderId="40" xfId="28" applyFont="1" applyFill="1" applyBorder="1" applyAlignment="1" applyProtection="1">
      <alignment horizontal="center"/>
    </xf>
    <xf numFmtId="0" fontId="45" fillId="0" borderId="0" xfId="42" applyFont="1" applyAlignment="1">
      <alignment vertical="center"/>
    </xf>
    <xf numFmtId="1" fontId="44" fillId="0" borderId="0" xfId="0" applyNumberFormat="1" applyFont="1" applyAlignment="1">
      <alignment horizontal="center" vertical="center" wrapText="1"/>
    </xf>
    <xf numFmtId="43" fontId="51" fillId="0" borderId="0" xfId="42" applyNumberFormat="1" applyFont="1"/>
    <xf numFmtId="43" fontId="51" fillId="0" borderId="12" xfId="29" applyFont="1" applyBorder="1" applyProtection="1"/>
    <xf numFmtId="43" fontId="43" fillId="0" borderId="12" xfId="29" applyFont="1" applyBorder="1" applyProtection="1"/>
    <xf numFmtId="0" fontId="43" fillId="0" borderId="30" xfId="42" applyBorder="1"/>
    <xf numFmtId="43" fontId="43" fillId="0" borderId="31" xfId="42" applyNumberFormat="1" applyBorder="1"/>
    <xf numFmtId="0" fontId="36" fillId="0" borderId="0" xfId="42" applyFont="1"/>
    <xf numFmtId="43" fontId="36" fillId="28" borderId="40" xfId="29" applyFont="1" applyFill="1" applyBorder="1" applyAlignment="1" applyProtection="1">
      <alignment horizontal="center"/>
    </xf>
    <xf numFmtId="0" fontId="25" fillId="0" borderId="0" xfId="0" applyFont="1"/>
    <xf numFmtId="0" fontId="24" fillId="0" borderId="13" xfId="0" applyFont="1" applyBorder="1"/>
    <xf numFmtId="43" fontId="58" fillId="0" borderId="0" xfId="29" applyFont="1" applyBorder="1" applyProtection="1"/>
    <xf numFmtId="164" fontId="33" fillId="29" borderId="0" xfId="0" applyNumberFormat="1" applyFont="1" applyFill="1" applyAlignment="1">
      <alignment horizontal="right"/>
    </xf>
    <xf numFmtId="43" fontId="39" fillId="0" borderId="0" xfId="29" applyFont="1"/>
    <xf numFmtId="164" fontId="39" fillId="0" borderId="13" xfId="0" applyNumberFormat="1" applyFont="1" applyBorder="1"/>
    <xf numFmtId="0" fontId="0" fillId="30" borderId="0" xfId="0" applyFill="1"/>
    <xf numFmtId="0" fontId="68" fillId="30" borderId="0" xfId="0" applyFont="1" applyFill="1" applyAlignment="1">
      <alignment horizontal="center"/>
    </xf>
    <xf numFmtId="0" fontId="68" fillId="30" borderId="0" xfId="0" applyFont="1" applyFill="1"/>
    <xf numFmtId="0" fontId="65" fillId="30" borderId="0" xfId="0" applyFont="1" applyFill="1" applyAlignment="1">
      <alignment horizontal="right"/>
    </xf>
    <xf numFmtId="0" fontId="68" fillId="30" borderId="0" xfId="0" applyFont="1" applyFill="1" applyAlignment="1">
      <alignment horizontal="right"/>
    </xf>
    <xf numFmtId="0" fontId="69" fillId="30" borderId="0" xfId="0" applyFont="1" applyFill="1"/>
    <xf numFmtId="0" fontId="65" fillId="30" borderId="0" xfId="0" applyFont="1" applyFill="1"/>
    <xf numFmtId="0" fontId="69" fillId="30" borderId="0" xfId="0" quotePrefix="1" applyFont="1" applyFill="1"/>
    <xf numFmtId="164" fontId="70" fillId="30" borderId="0" xfId="0" applyNumberFormat="1" applyFont="1" applyFill="1" applyAlignment="1">
      <alignment horizontal="center"/>
    </xf>
    <xf numFmtId="0" fontId="56" fillId="30" borderId="0" xfId="0" applyFont="1" applyFill="1"/>
    <xf numFmtId="0" fontId="21" fillId="31" borderId="0" xfId="0" applyFont="1" applyFill="1"/>
    <xf numFmtId="0" fontId="0" fillId="31" borderId="0" xfId="0" applyFill="1"/>
    <xf numFmtId="0" fontId="0" fillId="31" borderId="0" xfId="0" applyFill="1" applyAlignment="1">
      <alignment horizontal="right"/>
    </xf>
    <xf numFmtId="0" fontId="0" fillId="32" borderId="0" xfId="0" applyFill="1" applyAlignment="1">
      <alignment horizontal="right"/>
    </xf>
    <xf numFmtId="0" fontId="0" fillId="32" borderId="0" xfId="0" applyFill="1"/>
    <xf numFmtId="0" fontId="0" fillId="28" borderId="0" xfId="0" applyFill="1" applyAlignment="1">
      <alignment horizontal="right"/>
    </xf>
    <xf numFmtId="0" fontId="0" fillId="28" borderId="0" xfId="0" applyFill="1"/>
    <xf numFmtId="0" fontId="44" fillId="28" borderId="47" xfId="42" applyFont="1" applyFill="1" applyBorder="1" applyAlignment="1">
      <alignment horizontal="center"/>
    </xf>
    <xf numFmtId="0" fontId="44" fillId="28" borderId="48" xfId="42" applyFont="1" applyFill="1" applyBorder="1" applyAlignment="1">
      <alignment horizontal="center"/>
    </xf>
    <xf numFmtId="43" fontId="44" fillId="28" borderId="48" xfId="42" applyNumberFormat="1" applyFont="1" applyFill="1" applyBorder="1" applyAlignment="1">
      <alignment horizontal="center"/>
    </xf>
    <xf numFmtId="43" fontId="44" fillId="28" borderId="49" xfId="42" applyNumberFormat="1" applyFont="1" applyFill="1" applyBorder="1" applyAlignment="1">
      <alignment horizontal="center"/>
    </xf>
    <xf numFmtId="43" fontId="23" fillId="0" borderId="0" xfId="42" applyNumberFormat="1" applyFont="1"/>
    <xf numFmtId="0" fontId="65" fillId="30" borderId="0" xfId="0" applyFont="1" applyFill="1" applyAlignment="1">
      <alignment horizontal="center"/>
    </xf>
    <xf numFmtId="0" fontId="36" fillId="0" borderId="24" xfId="0" applyFont="1" applyBorder="1"/>
    <xf numFmtId="43" fontId="39" fillId="0" borderId="10" xfId="29" applyFont="1" applyBorder="1" applyProtection="1"/>
    <xf numFmtId="0" fontId="74" fillId="30" borderId="0" xfId="0" applyFont="1" applyFill="1"/>
    <xf numFmtId="0" fontId="72" fillId="31" borderId="11" xfId="41" applyFont="1" applyFill="1" applyBorder="1" applyProtection="1">
      <protection locked="0"/>
    </xf>
    <xf numFmtId="43" fontId="72" fillId="31" borderId="11" xfId="41" applyNumberFormat="1" applyFont="1" applyFill="1" applyBorder="1" applyAlignment="1" applyProtection="1">
      <alignment horizontal="left"/>
      <protection locked="0"/>
    </xf>
    <xf numFmtId="0" fontId="72" fillId="31" borderId="11" xfId="41" applyFont="1" applyFill="1" applyBorder="1" applyAlignment="1" applyProtection="1">
      <alignment wrapText="1"/>
      <protection locked="0"/>
    </xf>
    <xf numFmtId="10" fontId="72" fillId="31" borderId="11" xfId="41" applyNumberFormat="1" applyFont="1" applyFill="1" applyBorder="1" applyAlignment="1" applyProtection="1">
      <alignment horizontal="left"/>
      <protection locked="0"/>
    </xf>
    <xf numFmtId="14" fontId="72" fillId="31" borderId="11" xfId="41" applyNumberFormat="1" applyFont="1" applyFill="1" applyBorder="1" applyAlignment="1" applyProtection="1">
      <alignment horizontal="left"/>
      <protection locked="0"/>
    </xf>
    <xf numFmtId="0" fontId="72" fillId="31" borderId="11" xfId="41" applyFont="1" applyFill="1" applyBorder="1" applyAlignment="1" applyProtection="1">
      <alignment horizontal="left"/>
      <protection locked="0"/>
    </xf>
    <xf numFmtId="164" fontId="72" fillId="31" borderId="11" xfId="41" applyNumberFormat="1" applyFont="1" applyFill="1" applyBorder="1" applyAlignment="1" applyProtection="1">
      <alignment horizontal="left"/>
      <protection locked="0"/>
    </xf>
    <xf numFmtId="0" fontId="68" fillId="30" borderId="12" xfId="0" applyFont="1" applyFill="1" applyBorder="1"/>
    <xf numFmtId="0" fontId="0" fillId="30" borderId="12" xfId="0" applyFill="1" applyBorder="1"/>
    <xf numFmtId="169" fontId="72" fillId="31" borderId="11" xfId="41" applyNumberFormat="1" applyFont="1" applyFill="1" applyBorder="1" applyAlignment="1" applyProtection="1">
      <alignment horizontal="left"/>
      <protection locked="0"/>
    </xf>
    <xf numFmtId="41" fontId="72" fillId="31" borderId="11" xfId="41" applyNumberFormat="1" applyFont="1" applyFill="1" applyBorder="1" applyAlignment="1" applyProtection="1">
      <alignment horizontal="left"/>
      <protection locked="0"/>
    </xf>
    <xf numFmtId="0" fontId="68" fillId="30" borderId="12" xfId="0" applyFont="1" applyFill="1" applyBorder="1" applyAlignment="1">
      <alignment horizontal="left"/>
    </xf>
    <xf numFmtId="166" fontId="69" fillId="30" borderId="12" xfId="0" applyNumberFormat="1" applyFont="1" applyFill="1" applyBorder="1"/>
    <xf numFmtId="0" fontId="69" fillId="30" borderId="12" xfId="0" applyFont="1" applyFill="1" applyBorder="1"/>
    <xf numFmtId="0" fontId="2" fillId="0" borderId="0" xfId="0" applyFont="1"/>
    <xf numFmtId="0" fontId="75" fillId="33" borderId="11" xfId="0" applyFont="1" applyFill="1" applyBorder="1" applyAlignment="1">
      <alignment horizontal="right"/>
    </xf>
    <xf numFmtId="0" fontId="21" fillId="0" borderId="11" xfId="0" applyFont="1" applyBorder="1" applyAlignment="1">
      <alignment horizontal="center"/>
    </xf>
    <xf numFmtId="172" fontId="0" fillId="0" borderId="11" xfId="0" applyNumberFormat="1" applyBorder="1"/>
    <xf numFmtId="43" fontId="20" fillId="31" borderId="11" xfId="51" applyNumberFormat="1" applyFill="1" applyBorder="1" applyAlignment="1" applyProtection="1">
      <alignment horizontal="left"/>
      <protection locked="0"/>
    </xf>
    <xf numFmtId="0" fontId="65" fillId="30" borderId="23" xfId="0" applyFont="1" applyFill="1" applyBorder="1" applyAlignment="1">
      <alignment horizontal="right"/>
    </xf>
    <xf numFmtId="0" fontId="73" fillId="30" borderId="21" xfId="27" applyFont="1" applyFill="1" applyBorder="1" applyAlignment="1">
      <alignment vertical="center"/>
    </xf>
    <xf numFmtId="0" fontId="73" fillId="30" borderId="22" xfId="27" applyFont="1" applyFill="1" applyBorder="1" applyAlignment="1">
      <alignment vertical="center"/>
    </xf>
    <xf numFmtId="0" fontId="73" fillId="30" borderId="27" xfId="27" applyFont="1" applyFill="1" applyBorder="1" applyAlignment="1">
      <alignment vertical="center"/>
    </xf>
    <xf numFmtId="0" fontId="66" fillId="30" borderId="23" xfId="0" applyFont="1" applyFill="1" applyBorder="1" applyAlignment="1">
      <alignment horizontal="right"/>
    </xf>
    <xf numFmtId="0" fontId="67" fillId="30" borderId="23" xfId="0" applyFont="1" applyFill="1" applyBorder="1" applyAlignment="1">
      <alignment horizontal="right"/>
    </xf>
    <xf numFmtId="0" fontId="68" fillId="33" borderId="12" xfId="0" applyFont="1" applyFill="1" applyBorder="1"/>
    <xf numFmtId="0" fontId="68" fillId="30" borderId="28" xfId="0" applyFont="1" applyFill="1" applyBorder="1"/>
    <xf numFmtId="0" fontId="68" fillId="30" borderId="13" xfId="0" applyFont="1" applyFill="1" applyBorder="1"/>
    <xf numFmtId="0" fontId="68" fillId="33" borderId="26" xfId="0" applyFont="1" applyFill="1" applyBorder="1"/>
    <xf numFmtId="9" fontId="0" fillId="0" borderId="11" xfId="46" applyFont="1" applyBorder="1"/>
    <xf numFmtId="0" fontId="76" fillId="0" borderId="11" xfId="0" applyFont="1" applyBorder="1" applyAlignment="1">
      <alignment horizontal="center"/>
    </xf>
    <xf numFmtId="43" fontId="76" fillId="0" borderId="11" xfId="29" applyFont="1" applyBorder="1" applyAlignment="1">
      <alignment horizontal="center"/>
    </xf>
    <xf numFmtId="0" fontId="76" fillId="29" borderId="11" xfId="0" applyFont="1" applyFill="1" applyBorder="1"/>
    <xf numFmtId="0" fontId="77" fillId="0" borderId="0" xfId="0" applyFont="1"/>
    <xf numFmtId="0" fontId="77" fillId="0" borderId="11" xfId="0" applyFont="1" applyBorder="1" applyAlignment="1">
      <alignment horizontal="center"/>
    </xf>
    <xf numFmtId="43" fontId="77" fillId="0" borderId="11" xfId="29" applyFont="1" applyBorder="1" applyAlignment="1">
      <alignment horizontal="center"/>
    </xf>
    <xf numFmtId="2" fontId="77" fillId="29" borderId="11" xfId="0" applyNumberFormat="1" applyFont="1" applyFill="1" applyBorder="1"/>
    <xf numFmtId="0" fontId="77" fillId="29" borderId="11" xfId="0" applyFont="1" applyFill="1" applyBorder="1" applyAlignment="1">
      <alignment horizontal="center"/>
    </xf>
    <xf numFmtId="43" fontId="77" fillId="29" borderId="11" xfId="29" applyFont="1" applyFill="1" applyBorder="1" applyAlignment="1">
      <alignment horizontal="center"/>
    </xf>
    <xf numFmtId="43" fontId="77" fillId="29" borderId="11" xfId="29" applyFont="1" applyFill="1" applyBorder="1"/>
    <xf numFmtId="43" fontId="77" fillId="29" borderId="11" xfId="0" applyNumberFormat="1" applyFont="1" applyFill="1" applyBorder="1" applyAlignment="1">
      <alignment horizontal="center"/>
    </xf>
    <xf numFmtId="43" fontId="77" fillId="29" borderId="11" xfId="0" applyNumberFormat="1" applyFont="1" applyFill="1" applyBorder="1"/>
    <xf numFmtId="43" fontId="77" fillId="0" borderId="0" xfId="29" applyFont="1"/>
    <xf numFmtId="0" fontId="77" fillId="29" borderId="0" xfId="0" applyFont="1" applyFill="1"/>
    <xf numFmtId="43" fontId="77" fillId="29" borderId="0" xfId="29" applyFont="1" applyFill="1"/>
    <xf numFmtId="0" fontId="78" fillId="0" borderId="0" xfId="0" applyFont="1"/>
    <xf numFmtId="43" fontId="1" fillId="0" borderId="0" xfId="29" applyFont="1"/>
    <xf numFmtId="0" fontId="1" fillId="0" borderId="0" xfId="0" applyFont="1"/>
    <xf numFmtId="43" fontId="39" fillId="0" borderId="28" xfId="29" applyFont="1" applyBorder="1" applyAlignment="1" applyProtection="1"/>
    <xf numFmtId="43" fontId="39" fillId="0" borderId="26" xfId="29" applyFont="1" applyBorder="1" applyAlignment="1" applyProtection="1"/>
    <xf numFmtId="43" fontId="39" fillId="0" borderId="13" xfId="29" applyFont="1" applyBorder="1" applyAlignment="1" applyProtection="1"/>
    <xf numFmtId="0" fontId="2" fillId="0" borderId="0" xfId="52"/>
    <xf numFmtId="43" fontId="2" fillId="0" borderId="0" xfId="52" applyNumberFormat="1"/>
    <xf numFmtId="172" fontId="79" fillId="0" borderId="55" xfId="52" applyNumberFormat="1" applyFont="1" applyBorder="1" applyAlignment="1">
      <alignment vertical="center"/>
    </xf>
    <xf numFmtId="172" fontId="79" fillId="0" borderId="24" xfId="52" applyNumberFormat="1" applyFont="1" applyBorder="1" applyAlignment="1">
      <alignment vertical="center"/>
    </xf>
    <xf numFmtId="0" fontId="80" fillId="0" borderId="0" xfId="52" applyFont="1"/>
    <xf numFmtId="10" fontId="81" fillId="0" borderId="0" xfId="52" applyNumberFormat="1" applyFont="1"/>
    <xf numFmtId="173" fontId="81" fillId="0" borderId="0" xfId="52" applyNumberFormat="1" applyFont="1"/>
    <xf numFmtId="172" fontId="81" fillId="0" borderId="16" xfId="52" applyNumberFormat="1" applyFont="1" applyBorder="1"/>
    <xf numFmtId="43" fontId="81" fillId="0" borderId="0" xfId="52" applyNumberFormat="1" applyFont="1"/>
    <xf numFmtId="172" fontId="81" fillId="0" borderId="0" xfId="29" applyNumberFormat="1" applyFont="1" applyProtection="1"/>
    <xf numFmtId="0" fontId="5" fillId="18" borderId="56" xfId="21" applyBorder="1" applyProtection="1">
      <protection locked="0"/>
    </xf>
    <xf numFmtId="0" fontId="2" fillId="0" borderId="0" xfId="52" applyProtection="1">
      <protection locked="0"/>
    </xf>
    <xf numFmtId="10" fontId="5" fillId="18" borderId="56" xfId="21" applyNumberFormat="1" applyBorder="1" applyProtection="1">
      <protection locked="0"/>
    </xf>
    <xf numFmtId="172" fontId="5" fillId="18" borderId="56" xfId="21" applyNumberFormat="1" applyBorder="1" applyProtection="1">
      <protection locked="0"/>
    </xf>
    <xf numFmtId="0" fontId="5" fillId="18" borderId="57" xfId="21" applyBorder="1" applyAlignment="1" applyProtection="1">
      <alignment wrapText="1"/>
      <protection locked="0"/>
    </xf>
    <xf numFmtId="43" fontId="0" fillId="0" borderId="11" xfId="29" applyFont="1" applyBorder="1"/>
    <xf numFmtId="0" fontId="2" fillId="0" borderId="11" xfId="52" applyBorder="1" applyAlignment="1">
      <alignment horizontal="center"/>
    </xf>
    <xf numFmtId="0" fontId="2" fillId="0" borderId="11" xfId="52" applyBorder="1"/>
    <xf numFmtId="0" fontId="21" fillId="0" borderId="0" xfId="0" applyFont="1"/>
    <xf numFmtId="43" fontId="39" fillId="0" borderId="0" xfId="29" applyFont="1" applyBorder="1" applyProtection="1">
      <protection locked="0"/>
    </xf>
    <xf numFmtId="164" fontId="42" fillId="0" borderId="24" xfId="0" applyNumberFormat="1" applyFont="1" applyBorder="1" applyProtection="1">
      <protection locked="0"/>
    </xf>
    <xf numFmtId="164" fontId="42" fillId="0" borderId="25" xfId="0" applyNumberFormat="1" applyFont="1" applyBorder="1" applyProtection="1">
      <protection locked="0"/>
    </xf>
    <xf numFmtId="43" fontId="39" fillId="0" borderId="28" xfId="29" applyFont="1" applyBorder="1" applyAlignment="1" applyProtection="1">
      <protection locked="0"/>
    </xf>
    <xf numFmtId="0" fontId="0" fillId="30" borderId="0" xfId="0" applyFill="1" applyAlignment="1">
      <alignment horizontal="left"/>
    </xf>
    <xf numFmtId="0" fontId="65" fillId="30" borderId="23" xfId="0" applyFont="1" applyFill="1" applyBorder="1" applyAlignment="1">
      <alignment horizontal="left"/>
    </xf>
    <xf numFmtId="0" fontId="65" fillId="30" borderId="21" xfId="0" applyFont="1" applyFill="1" applyBorder="1" applyAlignment="1">
      <alignment horizontal="left"/>
    </xf>
    <xf numFmtId="0" fontId="0" fillId="30" borderId="22" xfId="0" applyFill="1" applyBorder="1" applyAlignment="1">
      <alignment horizontal="left"/>
    </xf>
    <xf numFmtId="0" fontId="65" fillId="30" borderId="28" xfId="0" applyFont="1" applyFill="1" applyBorder="1" applyAlignment="1">
      <alignment horizontal="left"/>
    </xf>
    <xf numFmtId="0" fontId="0" fillId="30" borderId="13" xfId="0" applyFill="1" applyBorder="1" applyAlignment="1">
      <alignment horizontal="left"/>
    </xf>
    <xf numFmtId="0" fontId="36" fillId="0" borderId="0" xfId="0" applyFont="1" applyAlignment="1">
      <alignment horizontal="center"/>
    </xf>
    <xf numFmtId="0" fontId="30" fillId="29" borderId="0" xfId="0" applyFont="1" applyFill="1" applyAlignment="1">
      <alignment horizontal="center"/>
    </xf>
    <xf numFmtId="43" fontId="39" fillId="29" borderId="0" xfId="29" applyFont="1" applyFill="1" applyBorder="1" applyAlignment="1">
      <alignment horizontal="center"/>
    </xf>
    <xf numFmtId="43" fontId="83" fillId="0" borderId="0" xfId="0" applyNumberFormat="1" applyFont="1"/>
    <xf numFmtId="164" fontId="71" fillId="31" borderId="11" xfId="0" applyNumberFormat="1" applyFont="1" applyFill="1" applyBorder="1" applyAlignment="1" applyProtection="1">
      <alignment horizontal="left"/>
      <protection locked="0"/>
    </xf>
    <xf numFmtId="0" fontId="36" fillId="29" borderId="40" xfId="28" applyFont="1" applyFill="1" applyBorder="1" applyAlignment="1" applyProtection="1">
      <alignment horizontal="center"/>
      <protection locked="0"/>
    </xf>
    <xf numFmtId="164" fontId="42" fillId="0" borderId="40" xfId="0" applyNumberFormat="1" applyFont="1" applyBorder="1" applyProtection="1">
      <protection locked="0"/>
    </xf>
    <xf numFmtId="164" fontId="42" fillId="0" borderId="40" xfId="0" applyNumberFormat="1" applyFont="1" applyBorder="1" applyAlignment="1" applyProtection="1">
      <alignment horizontal="right"/>
      <protection locked="0"/>
    </xf>
    <xf numFmtId="14" fontId="26" fillId="0" borderId="0" xfId="0" applyNumberFormat="1" applyFont="1"/>
    <xf numFmtId="0" fontId="82" fillId="30" borderId="0" xfId="0" applyFont="1" applyFill="1"/>
    <xf numFmtId="43" fontId="72" fillId="34" borderId="11" xfId="29" applyFont="1" applyFill="1" applyBorder="1" applyAlignment="1" applyProtection="1">
      <alignment horizontal="left"/>
      <protection locked="0"/>
    </xf>
    <xf numFmtId="43" fontId="72" fillId="34" borderId="11" xfId="29" applyFont="1" applyFill="1" applyBorder="1" applyAlignment="1" applyProtection="1">
      <alignment horizontal="right"/>
      <protection locked="0"/>
    </xf>
    <xf numFmtId="43" fontId="39" fillId="0" borderId="45" xfId="29" applyFont="1" applyBorder="1" applyAlignment="1" applyProtection="1">
      <alignment horizontal="center"/>
    </xf>
    <xf numFmtId="43" fontId="39" fillId="0" borderId="46" xfId="29" applyFont="1" applyBorder="1" applyAlignment="1" applyProtection="1">
      <alignment horizontal="center"/>
    </xf>
    <xf numFmtId="43" fontId="20" fillId="33" borderId="11" xfId="51" applyNumberFormat="1" applyFill="1" applyBorder="1" applyAlignment="1" applyProtection="1">
      <alignment horizontal="left"/>
      <protection locked="0"/>
    </xf>
    <xf numFmtId="0" fontId="8" fillId="18" borderId="21" xfId="21" applyFont="1" applyBorder="1" applyAlignment="1">
      <alignment horizontal="center" vertical="center"/>
    </xf>
    <xf numFmtId="0" fontId="8" fillId="18" borderId="22" xfId="21" applyFont="1" applyBorder="1" applyAlignment="1">
      <alignment horizontal="center" vertical="center"/>
    </xf>
    <xf numFmtId="0" fontId="8" fillId="18" borderId="27" xfId="21" applyFont="1" applyBorder="1" applyAlignment="1">
      <alignment horizontal="center" vertical="center"/>
    </xf>
    <xf numFmtId="0" fontId="8" fillId="18" borderId="28" xfId="21" applyFont="1" applyBorder="1" applyAlignment="1">
      <alignment horizontal="center" vertical="center"/>
    </xf>
    <xf numFmtId="0" fontId="8" fillId="18" borderId="13" xfId="21" applyFont="1" applyBorder="1" applyAlignment="1">
      <alignment horizontal="center" vertical="center"/>
    </xf>
    <xf numFmtId="0" fontId="8" fillId="18" borderId="26" xfId="21" applyFont="1" applyBorder="1" applyAlignment="1">
      <alignment horizontal="center" vertical="center"/>
    </xf>
    <xf numFmtId="0" fontId="72" fillId="31" borderId="20" xfId="41" applyFont="1" applyFill="1" applyBorder="1" applyAlignment="1" applyProtection="1">
      <alignment horizontal="left"/>
      <protection locked="0"/>
    </xf>
    <xf numFmtId="0" fontId="72" fillId="31" borderId="10" xfId="41" applyFont="1" applyFill="1" applyBorder="1" applyAlignment="1" applyProtection="1">
      <alignment horizontal="left"/>
      <protection locked="0"/>
    </xf>
    <xf numFmtId="0" fontId="72" fillId="31" borderId="14" xfId="41" applyFont="1" applyFill="1" applyBorder="1" applyAlignment="1" applyProtection="1">
      <alignment horizontal="left"/>
      <protection locked="0"/>
    </xf>
    <xf numFmtId="0" fontId="8" fillId="18" borderId="50" xfId="21" applyFont="1" applyBorder="1" applyAlignment="1">
      <alignment horizontal="center" vertical="center"/>
    </xf>
    <xf numFmtId="0" fontId="8" fillId="18" borderId="51" xfId="21" applyFont="1" applyBorder="1" applyAlignment="1">
      <alignment horizontal="center" vertical="center"/>
    </xf>
    <xf numFmtId="0" fontId="8" fillId="18" borderId="52" xfId="21" applyFont="1" applyBorder="1" applyAlignment="1">
      <alignment horizontal="center" vertical="center"/>
    </xf>
    <xf numFmtId="0" fontId="8" fillId="18" borderId="53" xfId="21" applyFont="1" applyBorder="1" applyAlignment="1">
      <alignment horizontal="center" vertical="center"/>
    </xf>
    <xf numFmtId="0" fontId="8" fillId="18" borderId="29" xfId="21" applyFont="1" applyBorder="1" applyAlignment="1">
      <alignment horizontal="center" vertical="center"/>
    </xf>
    <xf numFmtId="0" fontId="8" fillId="18" borderId="54" xfId="21" applyFont="1" applyBorder="1" applyAlignment="1">
      <alignment horizontal="center" vertical="center"/>
    </xf>
    <xf numFmtId="0" fontId="68" fillId="30" borderId="14" xfId="0" applyFont="1" applyFill="1" applyBorder="1" applyAlignment="1">
      <alignment horizontal="center"/>
    </xf>
    <xf numFmtId="0" fontId="68" fillId="30" borderId="10" xfId="0" applyFont="1" applyFill="1" applyBorder="1" applyAlignment="1">
      <alignment horizontal="center"/>
    </xf>
    <xf numFmtId="0" fontId="47" fillId="0" borderId="0" xfId="0" applyFont="1"/>
    <xf numFmtId="0" fontId="63" fillId="27" borderId="21" xfId="45" applyFont="1" applyBorder="1" applyAlignment="1" applyProtection="1">
      <alignment horizontal="center" vertical="top" wrapText="1"/>
    </xf>
    <xf numFmtId="0" fontId="63" fillId="27" borderId="22" xfId="45" applyFont="1" applyBorder="1" applyAlignment="1" applyProtection="1">
      <alignment horizontal="center" vertical="top" wrapText="1"/>
    </xf>
    <xf numFmtId="0" fontId="63" fillId="27" borderId="27" xfId="45" applyFont="1" applyBorder="1" applyAlignment="1" applyProtection="1">
      <alignment horizontal="center" vertical="top" wrapText="1"/>
    </xf>
    <xf numFmtId="0" fontId="63" fillId="27" borderId="28" xfId="45" applyFont="1" applyBorder="1" applyAlignment="1" applyProtection="1">
      <alignment horizontal="center" vertical="top" wrapText="1"/>
    </xf>
    <xf numFmtId="0" fontId="63" fillId="27" borderId="13" xfId="45" applyFont="1" applyBorder="1" applyAlignment="1" applyProtection="1">
      <alignment horizontal="center" vertical="top" wrapText="1"/>
    </xf>
    <xf numFmtId="0" fontId="63" fillId="27" borderId="26" xfId="45" applyFont="1" applyBorder="1" applyAlignment="1" applyProtection="1">
      <alignment horizontal="center" vertical="top" wrapText="1"/>
    </xf>
    <xf numFmtId="0" fontId="64" fillId="27" borderId="21" xfId="45" applyFont="1" applyBorder="1" applyAlignment="1" applyProtection="1">
      <alignment horizontal="left" vertical="top" wrapText="1"/>
    </xf>
    <xf numFmtId="0" fontId="64" fillId="27" borderId="22" xfId="45" applyFont="1" applyBorder="1" applyAlignment="1" applyProtection="1">
      <alignment horizontal="left" vertical="top" wrapText="1"/>
    </xf>
    <xf numFmtId="0" fontId="64" fillId="27" borderId="27" xfId="45" applyFont="1" applyBorder="1" applyAlignment="1" applyProtection="1">
      <alignment horizontal="left" vertical="top" wrapText="1"/>
    </xf>
    <xf numFmtId="0" fontId="64" fillId="27" borderId="23" xfId="45" applyFont="1" applyBorder="1" applyAlignment="1" applyProtection="1">
      <alignment horizontal="left" vertical="top" wrapText="1"/>
    </xf>
    <xf numFmtId="0" fontId="64" fillId="27" borderId="0" xfId="45" applyFont="1" applyBorder="1" applyAlignment="1" applyProtection="1">
      <alignment horizontal="left" vertical="top" wrapText="1"/>
    </xf>
    <xf numFmtId="0" fontId="64" fillId="27" borderId="12" xfId="45" applyFont="1" applyBorder="1" applyAlignment="1" applyProtection="1">
      <alignment horizontal="left" vertical="top" wrapText="1"/>
    </xf>
    <xf numFmtId="0" fontId="64" fillId="27" borderId="28" xfId="45" applyFont="1" applyBorder="1" applyAlignment="1" applyProtection="1">
      <alignment horizontal="left" vertical="top" wrapText="1"/>
    </xf>
    <xf numFmtId="0" fontId="64" fillId="27" borderId="13" xfId="45" applyFont="1" applyBorder="1" applyAlignment="1" applyProtection="1">
      <alignment horizontal="left" vertical="top" wrapText="1"/>
    </xf>
    <xf numFmtId="0" fontId="64" fillId="27" borderId="26" xfId="45" applyFont="1" applyBorder="1" applyAlignment="1" applyProtection="1">
      <alignment horizontal="left" vertical="top" wrapText="1"/>
    </xf>
    <xf numFmtId="0" fontId="59" fillId="27" borderId="21" xfId="45" applyFont="1" applyBorder="1" applyAlignment="1" applyProtection="1">
      <alignment horizontal="left" vertical="top" wrapText="1"/>
    </xf>
    <xf numFmtId="0" fontId="59" fillId="27" borderId="22" xfId="45" applyFont="1" applyBorder="1" applyAlignment="1" applyProtection="1">
      <alignment horizontal="left" vertical="top" wrapText="1"/>
    </xf>
    <xf numFmtId="0" fontId="59" fillId="27" borderId="27" xfId="45" applyFont="1" applyBorder="1" applyAlignment="1" applyProtection="1">
      <alignment horizontal="left" vertical="top" wrapText="1"/>
    </xf>
    <xf numFmtId="0" fontId="59" fillId="27" borderId="23" xfId="45" applyFont="1" applyBorder="1" applyAlignment="1" applyProtection="1">
      <alignment horizontal="left" vertical="top" wrapText="1"/>
    </xf>
    <xf numFmtId="0" fontId="59" fillId="27" borderId="0" xfId="45" applyFont="1" applyBorder="1" applyAlignment="1" applyProtection="1">
      <alignment horizontal="left" vertical="top" wrapText="1"/>
    </xf>
    <xf numFmtId="0" fontId="59" fillId="27" borderId="12" xfId="45" applyFont="1" applyBorder="1" applyAlignment="1" applyProtection="1">
      <alignment horizontal="left" vertical="top" wrapText="1"/>
    </xf>
    <xf numFmtId="0" fontId="59" fillId="27" borderId="28" xfId="45" applyFont="1" applyBorder="1" applyAlignment="1" applyProtection="1">
      <alignment horizontal="left" vertical="top" wrapText="1"/>
    </xf>
    <xf numFmtId="0" fontId="59" fillId="27" borderId="13" xfId="45" applyFont="1" applyBorder="1" applyAlignment="1" applyProtection="1">
      <alignment horizontal="left" vertical="top" wrapText="1"/>
    </xf>
    <xf numFmtId="0" fontId="59" fillId="27" borderId="26" xfId="45" applyFont="1" applyBorder="1" applyAlignment="1" applyProtection="1">
      <alignment horizontal="left" vertical="top" wrapText="1"/>
    </xf>
    <xf numFmtId="0" fontId="59" fillId="27" borderId="34" xfId="45" applyFont="1" applyAlignment="1" applyProtection="1">
      <alignment horizontal="left"/>
    </xf>
    <xf numFmtId="0" fontId="62" fillId="26" borderId="43" xfId="28" applyFont="1" applyBorder="1" applyAlignment="1" applyProtection="1">
      <alignment horizontal="left" vertical="center"/>
    </xf>
    <xf numFmtId="0" fontId="62" fillId="26" borderId="44" xfId="28" applyFont="1" applyBorder="1" applyAlignment="1" applyProtection="1">
      <alignment horizontal="left" vertical="center"/>
    </xf>
    <xf numFmtId="0" fontId="61" fillId="0" borderId="39" xfId="0" applyFont="1" applyBorder="1"/>
    <xf numFmtId="0" fontId="62" fillId="26" borderId="32" xfId="28" applyFont="1" applyAlignment="1" applyProtection="1">
      <alignment horizontal="left" vertical="center"/>
    </xf>
    <xf numFmtId="0" fontId="45" fillId="0" borderId="0" xfId="42" applyFont="1" applyAlignment="1">
      <alignment horizontal="center"/>
    </xf>
    <xf numFmtId="0" fontId="52" fillId="0" borderId="0" xfId="0" applyFont="1" applyAlignment="1">
      <alignment horizontal="center" vertical="center" wrapText="1"/>
    </xf>
    <xf numFmtId="0" fontId="39" fillId="0" borderId="21" xfId="42" applyFont="1" applyBorder="1" applyAlignment="1">
      <alignment horizontal="left"/>
    </xf>
    <xf numFmtId="0" fontId="39" fillId="0" borderId="22" xfId="42" applyFont="1" applyBorder="1" applyAlignment="1">
      <alignment horizontal="left"/>
    </xf>
    <xf numFmtId="0" fontId="39" fillId="0" borderId="27" xfId="42" applyFont="1" applyBorder="1" applyAlignment="1">
      <alignment horizontal="left"/>
    </xf>
    <xf numFmtId="43" fontId="39" fillId="0" borderId="21" xfId="30" applyFont="1" applyBorder="1" applyAlignment="1" applyProtection="1">
      <alignment horizontal="left"/>
    </xf>
    <xf numFmtId="43" fontId="39" fillId="0" borderId="22" xfId="30" applyFont="1" applyBorder="1" applyAlignment="1" applyProtection="1">
      <alignment horizontal="left"/>
    </xf>
    <xf numFmtId="43" fontId="39" fillId="0" borderId="27" xfId="30" applyFont="1" applyBorder="1" applyAlignment="1" applyProtection="1">
      <alignment horizontal="left"/>
    </xf>
    <xf numFmtId="43" fontId="39" fillId="0" borderId="28" xfId="29" applyFont="1" applyBorder="1" applyAlignment="1" applyProtection="1">
      <alignment horizontal="center"/>
    </xf>
    <xf numFmtId="43" fontId="39" fillId="0" borderId="26" xfId="29" applyFont="1" applyBorder="1" applyAlignment="1" applyProtection="1">
      <alignment horizontal="center"/>
    </xf>
    <xf numFmtId="43" fontId="39" fillId="0" borderId="36" xfId="29" applyFont="1" applyBorder="1" applyAlignment="1" applyProtection="1">
      <alignment horizontal="center"/>
    </xf>
    <xf numFmtId="43" fontId="39" fillId="0" borderId="38" xfId="29" applyFont="1" applyBorder="1" applyAlignment="1" applyProtection="1">
      <alignment horizontal="center"/>
    </xf>
    <xf numFmtId="0" fontId="36" fillId="26" borderId="42" xfId="28" applyFont="1" applyBorder="1" applyAlignment="1" applyProtection="1">
      <alignment horizontal="center"/>
    </xf>
    <xf numFmtId="43" fontId="39" fillId="28" borderId="45" xfId="29" applyFont="1" applyFill="1" applyBorder="1" applyAlignment="1" applyProtection="1">
      <alignment horizontal="center"/>
    </xf>
    <xf numFmtId="43" fontId="39" fillId="28" borderId="46" xfId="29" applyFont="1" applyFill="1" applyBorder="1" applyAlignment="1" applyProtection="1">
      <alignment horizontal="center"/>
    </xf>
    <xf numFmtId="0" fontId="25" fillId="0" borderId="0" xfId="0" applyFont="1" applyAlignment="1">
      <alignment horizontal="center"/>
    </xf>
    <xf numFmtId="0" fontId="50" fillId="0" borderId="0" xfId="0" applyFont="1" applyAlignment="1">
      <alignment horizontal="center" vertical="center"/>
    </xf>
    <xf numFmtId="0" fontId="36" fillId="0" borderId="0" xfId="0" applyFont="1" applyAlignment="1">
      <alignment horizontal="center" wrapText="1"/>
    </xf>
    <xf numFmtId="0" fontId="36" fillId="0" borderId="0" xfId="0" applyFont="1" applyAlignment="1">
      <alignment horizontal="right" wrapText="1"/>
    </xf>
    <xf numFmtId="0" fontId="35" fillId="0" borderId="0" xfId="0" applyFont="1" applyAlignment="1">
      <alignment horizontal="center" vertical="top" wrapText="1"/>
    </xf>
    <xf numFmtId="0" fontId="39" fillId="0" borderId="0" xfId="0" applyFont="1" applyAlignment="1">
      <alignment horizontal="center" vertical="top" wrapText="1"/>
    </xf>
    <xf numFmtId="0" fontId="50" fillId="0" borderId="0" xfId="0" applyFont="1" applyAlignment="1">
      <alignment horizontal="center"/>
    </xf>
    <xf numFmtId="0" fontId="39" fillId="0" borderId="13" xfId="0" applyFont="1" applyBorder="1" applyAlignment="1">
      <alignment horizontal="center"/>
    </xf>
    <xf numFmtId="0" fontId="36" fillId="0" borderId="21" xfId="0" applyFont="1" applyBorder="1" applyAlignment="1">
      <alignment horizontal="center"/>
    </xf>
    <xf numFmtId="0" fontId="36" fillId="0" borderId="27" xfId="0" applyFont="1" applyBorder="1" applyAlignment="1">
      <alignment horizontal="center"/>
    </xf>
    <xf numFmtId="0" fontId="39" fillId="0" borderId="0" xfId="0" applyFont="1" applyAlignment="1">
      <alignment horizontal="right" shrinkToFit="1"/>
    </xf>
    <xf numFmtId="43" fontId="39" fillId="0" borderId="45" xfId="29" applyFont="1" applyBorder="1" applyAlignment="1" applyProtection="1">
      <alignment horizontal="center"/>
    </xf>
    <xf numFmtId="43" fontId="39" fillId="0" borderId="46" xfId="29" applyFont="1" applyBorder="1" applyAlignment="1" applyProtection="1">
      <alignment horizontal="center"/>
    </xf>
    <xf numFmtId="43" fontId="39" fillId="0" borderId="41" xfId="29" applyFont="1" applyBorder="1" applyAlignment="1" applyProtection="1">
      <alignment horizontal="center"/>
    </xf>
    <xf numFmtId="43" fontId="39" fillId="29" borderId="45" xfId="29" applyFont="1" applyFill="1" applyBorder="1" applyAlignment="1" applyProtection="1">
      <alignment horizontal="center"/>
    </xf>
    <xf numFmtId="43" fontId="39" fillId="29" borderId="46" xfId="29" applyFont="1" applyFill="1" applyBorder="1" applyAlignment="1" applyProtection="1">
      <alignment horizontal="center"/>
    </xf>
    <xf numFmtId="43" fontId="39" fillId="29" borderId="23" xfId="29" applyFont="1" applyFill="1" applyBorder="1" applyAlignment="1">
      <alignment horizontal="center"/>
    </xf>
    <xf numFmtId="43" fontId="39" fillId="29" borderId="12" xfId="29" applyFont="1" applyFill="1" applyBorder="1" applyAlignment="1">
      <alignment horizontal="center"/>
    </xf>
    <xf numFmtId="0" fontId="23" fillId="0" borderId="0" xfId="0" applyFont="1" applyAlignment="1">
      <alignment horizontal="center"/>
    </xf>
    <xf numFmtId="0" fontId="30" fillId="29" borderId="11" xfId="0" applyFont="1" applyFill="1" applyBorder="1" applyAlignment="1">
      <alignment horizontal="center"/>
    </xf>
    <xf numFmtId="39" fontId="39" fillId="29" borderId="23" xfId="29" applyNumberFormat="1" applyFont="1" applyFill="1" applyBorder="1" applyAlignment="1">
      <alignment horizontal="center"/>
    </xf>
    <xf numFmtId="39" fontId="39" fillId="29" borderId="12" xfId="29" applyNumberFormat="1" applyFont="1" applyFill="1" applyBorder="1" applyAlignment="1">
      <alignment horizontal="center"/>
    </xf>
    <xf numFmtId="0" fontId="36" fillId="0" borderId="0" xfId="0" applyFont="1" applyAlignment="1">
      <alignment horizontal="center"/>
    </xf>
    <xf numFmtId="166" fontId="29" fillId="0" borderId="0" xfId="0" applyNumberFormat="1" applyFont="1" applyAlignment="1">
      <alignment horizontal="center"/>
    </xf>
    <xf numFmtId="0" fontId="36" fillId="0" borderId="0" xfId="0" applyFont="1" applyAlignment="1">
      <alignment horizontal="center" vertical="top"/>
    </xf>
    <xf numFmtId="0" fontId="29" fillId="0" borderId="0" xfId="0" applyFont="1" applyAlignment="1">
      <alignment horizontal="center"/>
    </xf>
    <xf numFmtId="0" fontId="36" fillId="0" borderId="22" xfId="0" applyFont="1" applyBorder="1" applyAlignment="1">
      <alignment horizontal="center"/>
    </xf>
    <xf numFmtId="43" fontId="39" fillId="29" borderId="11" xfId="29" applyFont="1" applyFill="1" applyBorder="1" applyAlignment="1">
      <alignment horizontal="center"/>
    </xf>
    <xf numFmtId="39" fontId="39" fillId="29" borderId="11" xfId="29" applyNumberFormat="1" applyFont="1" applyFill="1" applyBorder="1" applyAlignment="1">
      <alignment horizontal="center"/>
    </xf>
    <xf numFmtId="43" fontId="39" fillId="29" borderId="28" xfId="29" applyFont="1" applyFill="1" applyBorder="1" applyAlignment="1">
      <alignment horizontal="center"/>
    </xf>
    <xf numFmtId="43" fontId="39" fillId="29" borderId="26" xfId="29" applyFont="1" applyFill="1" applyBorder="1" applyAlignment="1">
      <alignment horizontal="center"/>
    </xf>
    <xf numFmtId="10" fontId="84" fillId="0" borderId="0" xfId="0" applyNumberFormat="1" applyFont="1" applyAlignment="1">
      <alignment horizontal="center" vertical="center" wrapText="1"/>
    </xf>
    <xf numFmtId="39" fontId="29" fillId="24" borderId="11" xfId="29" applyNumberFormat="1" applyFont="1" applyFill="1" applyBorder="1" applyAlignment="1">
      <alignment horizontal="center"/>
    </xf>
    <xf numFmtId="43" fontId="29" fillId="24" borderId="11" xfId="29" applyFont="1" applyFill="1" applyBorder="1" applyAlignment="1">
      <alignment horizontal="center"/>
    </xf>
    <xf numFmtId="0" fontId="30" fillId="24" borderId="11" xfId="0" applyFont="1" applyFill="1" applyBorder="1" applyAlignment="1">
      <alignment horizontal="center"/>
    </xf>
    <xf numFmtId="166" fontId="39" fillId="0" borderId="14" xfId="0" applyNumberFormat="1" applyFont="1" applyBorder="1" applyAlignment="1">
      <alignment horizontal="center"/>
    </xf>
    <xf numFmtId="166" fontId="39" fillId="0" borderId="10" xfId="0" applyNumberFormat="1" applyFont="1" applyBorder="1" applyAlignment="1">
      <alignment horizontal="center"/>
    </xf>
    <xf numFmtId="43" fontId="39" fillId="0" borderId="13" xfId="29" applyFont="1" applyBorder="1" applyAlignment="1" applyProtection="1">
      <alignment horizontal="center"/>
    </xf>
    <xf numFmtId="0" fontId="36" fillId="0" borderId="0" xfId="0" applyFont="1" applyAlignment="1">
      <alignment horizontal="center" vertical="center"/>
    </xf>
    <xf numFmtId="0" fontId="2" fillId="0" borderId="13" xfId="0" applyFont="1" applyBorder="1" applyAlignment="1">
      <alignment horizontal="center"/>
    </xf>
    <xf numFmtId="0" fontId="0" fillId="0" borderId="13" xfId="0" applyBorder="1" applyAlignment="1">
      <alignment horizontal="center"/>
    </xf>
    <xf numFmtId="0" fontId="82" fillId="0" borderId="0" xfId="52" applyFont="1" applyAlignment="1">
      <alignment horizontal="center" vertical="center" wrapText="1"/>
    </xf>
    <xf numFmtId="0" fontId="2" fillId="0" borderId="12" xfId="52" applyBorder="1" applyAlignment="1">
      <alignment horizontal="center" vertical="center"/>
    </xf>
    <xf numFmtId="0" fontId="21" fillId="0" borderId="13" xfId="52" applyFont="1" applyBorder="1" applyAlignment="1">
      <alignment horizont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heck Cell 2" xfId="28" xr:uid="{00000000-0005-0000-0000-00001B000000}"/>
    <cellStyle name="Comma" xfId="29" builtinId="3"/>
    <cellStyle name="Comma 2" xfId="30" xr:uid="{00000000-0005-0000-0000-00001D000000}"/>
    <cellStyle name="Currency 2" xfId="31" xr:uid="{00000000-0005-0000-0000-00001E000000}"/>
    <cellStyle name="Explanatory Text" xfId="32" builtinId="53" customBuiltin="1"/>
    <cellStyle name="Good" xfId="33" builtinId="26" customBuiltin="1"/>
    <cellStyle name="Heading 1" xfId="34" builtinId="16" customBuiltin="1"/>
    <cellStyle name="Heading 2" xfId="35" builtinId="17" customBuiltin="1"/>
    <cellStyle name="Heading 2 2" xfId="36" xr:uid="{00000000-0005-0000-0000-000023000000}"/>
    <cellStyle name="Heading 3" xfId="37" builtinId="18" customBuiltin="1"/>
    <cellStyle name="Heading 4" xfId="38" builtinId="19" customBuiltin="1"/>
    <cellStyle name="Input" xfId="39" builtinId="20" customBuiltin="1"/>
    <cellStyle name="Linked Cell" xfId="40" builtinId="24" customBuiltin="1"/>
    <cellStyle name="Neutral" xfId="41" builtinId="28" customBuiltin="1"/>
    <cellStyle name="Normal" xfId="0" builtinId="0"/>
    <cellStyle name="Normal 2" xfId="42" xr:uid="{00000000-0005-0000-0000-00002A000000}"/>
    <cellStyle name="Normal 3" xfId="52" xr:uid="{00000000-0005-0000-0000-00002B000000}"/>
    <cellStyle name="Note" xfId="43" builtinId="10" customBuiltin="1"/>
    <cellStyle name="Output" xfId="44" builtinId="21" customBuiltin="1"/>
    <cellStyle name="Output 2" xfId="45" xr:uid="{00000000-0005-0000-0000-00002E000000}"/>
    <cellStyle name="Percent" xfId="46" builtinId="5"/>
    <cellStyle name="Percent 2" xfId="47" xr:uid="{00000000-0005-0000-0000-000030000000}"/>
    <cellStyle name="Style 1" xfId="48" xr:uid="{00000000-0005-0000-0000-000031000000}"/>
    <cellStyle name="Title" xfId="49" builtinId="15" customBuiltin="1"/>
    <cellStyle name="Total" xfId="50" builtinId="25" customBuiltin="1"/>
    <cellStyle name="Warning Text" xfId="5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428625</xdr:colOff>
      <xdr:row>1</xdr:row>
      <xdr:rowOff>47625</xdr:rowOff>
    </xdr:from>
    <xdr:to>
      <xdr:col>12</xdr:col>
      <xdr:colOff>504825</xdr:colOff>
      <xdr:row>31</xdr:row>
      <xdr:rowOff>95250</xdr:rowOff>
    </xdr:to>
    <xdr:sp macro="" textlink="">
      <xdr:nvSpPr>
        <xdr:cNvPr id="5121" name="Rectangle 1">
          <a:extLst>
            <a:ext uri="{FF2B5EF4-FFF2-40B4-BE49-F238E27FC236}">
              <a16:creationId xmlns:a16="http://schemas.microsoft.com/office/drawing/2014/main" id="{00000000-0008-0000-0000-000001140000}"/>
            </a:ext>
          </a:extLst>
        </xdr:cNvPr>
        <xdr:cNvSpPr>
          <a:spLocks noChangeArrowheads="1"/>
        </xdr:cNvSpPr>
      </xdr:nvSpPr>
      <xdr:spPr bwMode="auto">
        <a:xfrm>
          <a:off x="4086225" y="209550"/>
          <a:ext cx="3733800" cy="4905375"/>
        </a:xfrm>
        <a:prstGeom prst="rect">
          <a:avLst/>
        </a:prstGeom>
        <a:solidFill>
          <a:srgbClr val="008000"/>
        </a:solidFill>
        <a:ln w="9525">
          <a:solidFill>
            <a:srgbClr val="000000"/>
          </a:solidFill>
          <a:miter lim="800000"/>
          <a:headEnd/>
          <a:tailEnd/>
        </a:ln>
        <a:effectLst>
          <a:outerShdw dist="107763" dir="18900000" algn="ctr" rotWithShape="0">
            <a:srgbClr val="808080">
              <a:alpha val="50000"/>
            </a:srgbClr>
          </a:outerShdw>
        </a:effectLst>
      </xdr:spPr>
    </xdr:sp>
    <xdr:clientData/>
  </xdr:twoCellAnchor>
  <mc:AlternateContent xmlns:mc="http://schemas.openxmlformats.org/markup-compatibility/2006">
    <mc:Choice xmlns:a14="http://schemas.microsoft.com/office/drawing/2010/main" Requires="a14">
      <xdr:twoCellAnchor>
        <xdr:from>
          <xdr:col>7</xdr:col>
          <xdr:colOff>161925</xdr:colOff>
          <xdr:row>3</xdr:row>
          <xdr:rowOff>28575</xdr:rowOff>
        </xdr:from>
        <xdr:to>
          <xdr:col>12</xdr:col>
          <xdr:colOff>295275</xdr:colOff>
          <xdr:row>6</xdr:row>
          <xdr:rowOff>85725</xdr:rowOff>
        </xdr:to>
        <xdr:sp macro="" textlink="">
          <xdr:nvSpPr>
            <xdr:cNvPr id="5122" name="Button 2"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Data Input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161925</xdr:colOff>
          <xdr:row>7</xdr:row>
          <xdr:rowOff>0</xdr:rowOff>
        </xdr:from>
        <xdr:to>
          <xdr:col>12</xdr:col>
          <xdr:colOff>295275</xdr:colOff>
          <xdr:row>10</xdr:row>
          <xdr:rowOff>57150</xdr:rowOff>
        </xdr:to>
        <xdr:sp macro="" textlink="">
          <xdr:nvSpPr>
            <xdr:cNvPr id="5123" name="Button 3" hidden="1">
              <a:extLst>
                <a:ext uri="{63B3BB69-23CF-44E3-9099-C40C66FF867C}">
                  <a14:compatExt spid="_x0000_s5123"/>
                </a:ext>
                <a:ext uri="{FF2B5EF4-FFF2-40B4-BE49-F238E27FC236}">
                  <a16:creationId xmlns:a16="http://schemas.microsoft.com/office/drawing/2014/main" id="{00000000-0008-0000-0000-000003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Computation Sheet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171450</xdr:colOff>
          <xdr:row>10</xdr:row>
          <xdr:rowOff>142875</xdr:rowOff>
        </xdr:from>
        <xdr:to>
          <xdr:col>12</xdr:col>
          <xdr:colOff>304800</xdr:colOff>
          <xdr:row>14</xdr:row>
          <xdr:rowOff>38100</xdr:rowOff>
        </xdr:to>
        <xdr:sp macro="" textlink="">
          <xdr:nvSpPr>
            <xdr:cNvPr id="5124" name="Button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Disbursement Voucher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171450</xdr:colOff>
          <xdr:row>14</xdr:row>
          <xdr:rowOff>95250</xdr:rowOff>
        </xdr:from>
        <xdr:to>
          <xdr:col>12</xdr:col>
          <xdr:colOff>304800</xdr:colOff>
          <xdr:row>17</xdr:row>
          <xdr:rowOff>152400</xdr:rowOff>
        </xdr:to>
        <xdr:sp macro="" textlink="">
          <xdr:nvSpPr>
            <xdr:cNvPr id="5125" name="Button 5"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Disbursement Voucher - Agent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161925</xdr:colOff>
          <xdr:row>18</xdr:row>
          <xdr:rowOff>76200</xdr:rowOff>
        </xdr:from>
        <xdr:to>
          <xdr:col>12</xdr:col>
          <xdr:colOff>295275</xdr:colOff>
          <xdr:row>21</xdr:row>
          <xdr:rowOff>133350</xdr:rowOff>
        </xdr:to>
        <xdr:sp macro="" textlink="">
          <xdr:nvSpPr>
            <xdr:cNvPr id="5126" name="Button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Request for Payment - Agent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161925</xdr:colOff>
          <xdr:row>22</xdr:row>
          <xdr:rowOff>47625</xdr:rowOff>
        </xdr:from>
        <xdr:to>
          <xdr:col>12</xdr:col>
          <xdr:colOff>295275</xdr:colOff>
          <xdr:row>25</xdr:row>
          <xdr:rowOff>104775</xdr:rowOff>
        </xdr:to>
        <xdr:sp macro="" textlink="">
          <xdr:nvSpPr>
            <xdr:cNvPr id="5127" name="Button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Letter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152400</xdr:colOff>
          <xdr:row>26</xdr:row>
          <xdr:rowOff>28575</xdr:rowOff>
        </xdr:from>
        <xdr:to>
          <xdr:col>12</xdr:col>
          <xdr:colOff>285750</xdr:colOff>
          <xdr:row>29</xdr:row>
          <xdr:rowOff>85725</xdr:rowOff>
        </xdr:to>
        <xdr:sp macro="" textlink="">
          <xdr:nvSpPr>
            <xdr:cNvPr id="5128" name="Button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Envelop</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5</xdr:col>
      <xdr:colOff>234465</xdr:colOff>
      <xdr:row>43</xdr:row>
      <xdr:rowOff>52633</xdr:rowOff>
    </xdr:from>
    <xdr:to>
      <xdr:col>5</xdr:col>
      <xdr:colOff>1487366</xdr:colOff>
      <xdr:row>44</xdr:row>
      <xdr:rowOff>190497</xdr:rowOff>
    </xdr:to>
    <xdr:pic>
      <xdr:nvPicPr>
        <xdr:cNvPr id="2" name="Picture 1" descr="easy-cash-web.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48100" y="5042268"/>
          <a:ext cx="1252901" cy="335691"/>
        </a:xfrm>
        <a:prstGeom prst="rect">
          <a:avLst/>
        </a:prstGeom>
      </xdr:spPr>
    </xdr:pic>
    <xdr:clientData/>
  </xdr:twoCellAnchor>
  <xdr:twoCellAnchor>
    <xdr:from>
      <xdr:col>0</xdr:col>
      <xdr:colOff>183173</xdr:colOff>
      <xdr:row>4</xdr:row>
      <xdr:rowOff>29308</xdr:rowOff>
    </xdr:from>
    <xdr:to>
      <xdr:col>5</xdr:col>
      <xdr:colOff>1787769</xdr:colOff>
      <xdr:row>4</xdr:row>
      <xdr:rowOff>29309</xdr:rowOff>
    </xdr:to>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a:off x="183173" y="688731"/>
          <a:ext cx="8118231" cy="1"/>
        </a:xfrm>
        <a:prstGeom prst="line">
          <a:avLst/>
        </a:prstGeom>
        <a:ln>
          <a:prstDash val="sysDash"/>
        </a:ln>
        <a:effectLst>
          <a:outerShdw blurRad="50800" dist="38100" dir="5400000" algn="t" rotWithShape="0">
            <a:prstClr val="black">
              <a:alpha val="40000"/>
            </a:prstClr>
          </a:outerShdw>
        </a:effectLst>
      </xdr:spPr>
      <xdr:style>
        <a:lnRef idx="2">
          <a:schemeClr val="accent2"/>
        </a:lnRef>
        <a:fillRef idx="0">
          <a:schemeClr val="accent2"/>
        </a:fillRef>
        <a:effectRef idx="1">
          <a:schemeClr val="accent2"/>
        </a:effectRef>
        <a:fontRef idx="minor">
          <a:schemeClr val="tx1"/>
        </a:fontRef>
      </xdr:style>
    </xdr:cxnSp>
    <xdr:clientData/>
  </xdr:twoCellAnchor>
  <xdr:twoCellAnchor>
    <xdr:from>
      <xdr:col>1</xdr:col>
      <xdr:colOff>20514</xdr:colOff>
      <xdr:row>45</xdr:row>
      <xdr:rowOff>36635</xdr:rowOff>
    </xdr:from>
    <xdr:to>
      <xdr:col>5</xdr:col>
      <xdr:colOff>7327</xdr:colOff>
      <xdr:row>45</xdr:row>
      <xdr:rowOff>42498</xdr:rowOff>
    </xdr:to>
    <xdr:cxnSp macro="">
      <xdr:nvCxnSpPr>
        <xdr:cNvPr id="11" name="Straight Connector 10">
          <a:extLst>
            <a:ext uri="{FF2B5EF4-FFF2-40B4-BE49-F238E27FC236}">
              <a16:creationId xmlns:a16="http://schemas.microsoft.com/office/drawing/2014/main" id="{00000000-0008-0000-0100-00000B000000}"/>
            </a:ext>
          </a:extLst>
        </xdr:cNvPr>
        <xdr:cNvCxnSpPr/>
      </xdr:nvCxnSpPr>
      <xdr:spPr>
        <a:xfrm flipV="1">
          <a:off x="218341" y="5421923"/>
          <a:ext cx="6302621" cy="5863"/>
        </a:xfrm>
        <a:prstGeom prst="line">
          <a:avLst/>
        </a:prstGeom>
        <a:ln>
          <a:prstDash val="sysDash"/>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5</xdr:col>
      <xdr:colOff>304800</xdr:colOff>
      <xdr:row>0</xdr:row>
      <xdr:rowOff>19050</xdr:rowOff>
    </xdr:from>
    <xdr:ext cx="2781300" cy="1141146"/>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91200" y="19050"/>
          <a:ext cx="2781300" cy="114114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800"/>
            <a:t>9th Floor Unit N5 Times Plaza BuildingUnited Nations Avenue (Cor. Taft Avenue)</a:t>
          </a:r>
        </a:p>
        <a:p>
          <a:r>
            <a:rPr lang="en-US" sz="800"/>
            <a:t>Ermita 1000</a:t>
          </a:r>
        </a:p>
        <a:p>
          <a:endParaRPr lang="en-US" sz="800"/>
        </a:p>
        <a:p>
          <a:r>
            <a:rPr lang="en-US" sz="800"/>
            <a:t>Telephone numbers: 353-8525; 353-8524</a:t>
          </a:r>
        </a:p>
        <a:p>
          <a:r>
            <a:rPr lang="en-US" sz="800"/>
            <a:t>Fax: 353-8508</a:t>
          </a:r>
        </a:p>
        <a:p>
          <a:r>
            <a:rPr lang="en-US" sz="800"/>
            <a:t>email: </a:t>
          </a:r>
          <a:r>
            <a:rPr lang="en-US" sz="800">
              <a:hlinkClick xmlns:r="http://schemas.openxmlformats.org/officeDocument/2006/relationships" r:id=""/>
            </a:rPr>
            <a:t>loans@easycash.ph</a:t>
          </a:r>
          <a:endParaRPr lang="en-US" sz="800"/>
        </a:p>
        <a:p>
          <a:endParaRPr lang="en-US" sz="1100"/>
        </a:p>
      </xdr:txBody>
    </xdr:sp>
    <xdr:clientData/>
  </xdr:oneCellAnchor>
  <xdr:twoCellAnchor editAs="oneCell">
    <xdr:from>
      <xdr:col>0</xdr:col>
      <xdr:colOff>1</xdr:colOff>
      <xdr:row>68</xdr:row>
      <xdr:rowOff>38100</xdr:rowOff>
    </xdr:from>
    <xdr:to>
      <xdr:col>8</xdr:col>
      <xdr:colOff>85725</xdr:colOff>
      <xdr:row>78</xdr:row>
      <xdr:rowOff>0</xdr:rowOff>
    </xdr:to>
    <xdr:sp macro="" textlink="">
      <xdr:nvSpPr>
        <xdr:cNvPr id="4" name="Text Box 2">
          <a:extLst>
            <a:ext uri="{FF2B5EF4-FFF2-40B4-BE49-F238E27FC236}">
              <a16:creationId xmlns:a16="http://schemas.microsoft.com/office/drawing/2014/main" id="{00000000-0008-0000-0200-000004000000}"/>
            </a:ext>
          </a:extLst>
        </xdr:cNvPr>
        <xdr:cNvSpPr txBox="1">
          <a:spLocks noChangeArrowheads="1"/>
        </xdr:cNvSpPr>
      </xdr:nvSpPr>
      <xdr:spPr bwMode="auto">
        <a:xfrm>
          <a:off x="1" y="13306425"/>
          <a:ext cx="8439149" cy="1866900"/>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3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3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300" b="0" i="0" strike="noStrike" baseline="0">
              <a:solidFill>
                <a:srgbClr val="000000"/>
              </a:solidFill>
              <a:latin typeface="Times New Roman" pitchFamily="18" charset="0"/>
              <a:cs typeface="Times New Roman" pitchFamily="18" charset="0"/>
            </a:rPr>
            <a:t> </a:t>
          </a:r>
          <a:r>
            <a:rPr lang="en-US" sz="13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3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300" b="0" i="0" strike="noStrike" baseline="0">
              <a:solidFill>
                <a:srgbClr val="000000"/>
              </a:solidFill>
              <a:latin typeface="Times New Roman" pitchFamily="18" charset="0"/>
              <a:cs typeface="Times New Roman" pitchFamily="18" charset="0"/>
            </a:rPr>
            <a:t> for</a:t>
          </a:r>
          <a:r>
            <a:rPr lang="en-US" sz="1300" b="0" i="0" strike="noStrike">
              <a:solidFill>
                <a:srgbClr val="000000"/>
              </a:solidFill>
              <a:latin typeface="Times New Roman" pitchFamily="18" charset="0"/>
              <a:cs typeface="Times New Roman" pitchFamily="18" charset="0"/>
            </a:rPr>
            <a:t>mal request for delayed deposits of check payments.Payments</a:t>
          </a:r>
          <a:r>
            <a:rPr lang="en-US" sz="13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300" b="0" i="0" strike="noStrike">
            <a:solidFill>
              <a:srgbClr val="000000"/>
            </a:solidFill>
            <a:latin typeface="Times New Roman" pitchFamily="18" charset="0"/>
            <a:cs typeface="Times New Roman" pitchFamily="18" charset="0"/>
          </a:endParaRPr>
        </a:p>
        <a:p>
          <a:pPr algn="l" rtl="1">
            <a:defRPr sz="1000"/>
          </a:pPr>
          <a:endParaRPr lang="en-US" sz="1300" b="0" i="0" strike="noStrike">
            <a:solidFill>
              <a:srgbClr val="000000"/>
            </a:solidFill>
            <a:latin typeface="Times New Roman" pitchFamily="18" charset="0"/>
            <a:cs typeface="Times New Roman" pitchFamily="18" charset="0"/>
          </a:endParaRPr>
        </a:p>
        <a:p>
          <a:pPr algn="l" rtl="1">
            <a:defRPr sz="1000"/>
          </a:pPr>
          <a:endParaRPr lang="en-US" sz="1300" b="0" i="0" strike="noStrike">
            <a:solidFill>
              <a:srgbClr val="000000"/>
            </a:solidFill>
            <a:latin typeface="Times New Roman" pitchFamily="18" charset="0"/>
            <a:cs typeface="Times New Roman" pitchFamily="18" charset="0"/>
          </a:endParaRPr>
        </a:p>
      </xdr:txBody>
    </xdr:sp>
    <xdr:clientData/>
  </xdr:twoCellAnchor>
  <xdr:twoCellAnchor editAs="oneCell">
    <xdr:from>
      <xdr:col>0</xdr:col>
      <xdr:colOff>9526</xdr:colOff>
      <xdr:row>0</xdr:row>
      <xdr:rowOff>38100</xdr:rowOff>
    </xdr:from>
    <xdr:to>
      <xdr:col>2</xdr:col>
      <xdr:colOff>1</xdr:colOff>
      <xdr:row>1</xdr:row>
      <xdr:rowOff>506027</xdr:rowOff>
    </xdr:to>
    <xdr:pic>
      <xdr:nvPicPr>
        <xdr:cNvPr id="6" name="Picture 5" descr="easy-cash-web.p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9526" y="38100"/>
          <a:ext cx="2457450" cy="6584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27222</xdr:colOff>
      <xdr:row>77</xdr:row>
      <xdr:rowOff>196097</xdr:rowOff>
    </xdr:from>
    <xdr:to>
      <xdr:col>8</xdr:col>
      <xdr:colOff>1292678</xdr:colOff>
      <xdr:row>88</xdr:row>
      <xdr:rowOff>40821</xdr:rowOff>
    </xdr:to>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27222" y="19967276"/>
          <a:ext cx="11361956" cy="1858581"/>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6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6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600" b="0" i="0" strike="noStrike" baseline="0">
              <a:solidFill>
                <a:srgbClr val="000000"/>
              </a:solidFill>
              <a:latin typeface="Times New Roman" pitchFamily="18" charset="0"/>
              <a:cs typeface="Times New Roman" pitchFamily="18" charset="0"/>
            </a:rPr>
            <a:t> </a:t>
          </a:r>
          <a:r>
            <a:rPr lang="en-US" sz="16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6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600" b="0" i="0" strike="noStrike" baseline="0">
              <a:solidFill>
                <a:srgbClr val="000000"/>
              </a:solidFill>
              <a:latin typeface="Times New Roman" pitchFamily="18" charset="0"/>
              <a:cs typeface="Times New Roman" pitchFamily="18" charset="0"/>
            </a:rPr>
            <a:t> for</a:t>
          </a:r>
          <a:r>
            <a:rPr lang="en-US" sz="1600" b="0" i="0" strike="noStrike">
              <a:solidFill>
                <a:srgbClr val="000000"/>
              </a:solidFill>
              <a:latin typeface="Times New Roman" pitchFamily="18" charset="0"/>
              <a:cs typeface="Times New Roman" pitchFamily="18" charset="0"/>
            </a:rPr>
            <a:t>mal request for delayed deposits of check payments.Payments</a:t>
          </a:r>
          <a:r>
            <a:rPr lang="en-US" sz="16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600" b="0" i="0" strike="noStrike">
            <a:solidFill>
              <a:srgbClr val="000000"/>
            </a:solidFill>
            <a:latin typeface="Times New Roman" pitchFamily="18" charset="0"/>
            <a:cs typeface="Times New Roman" pitchFamily="18" charset="0"/>
          </a:endParaRPr>
        </a:p>
        <a:p>
          <a:pPr algn="l" rtl="1">
            <a:defRPr sz="1000"/>
          </a:pPr>
          <a:endParaRPr lang="en-US" sz="1800" b="0" i="0" strike="noStrike">
            <a:solidFill>
              <a:srgbClr val="000000"/>
            </a:solidFill>
            <a:latin typeface="Times New Roman" pitchFamily="18" charset="0"/>
            <a:cs typeface="Times New Roman" pitchFamily="18" charset="0"/>
          </a:endParaRPr>
        </a:p>
        <a:p>
          <a:pPr algn="l" rtl="1">
            <a:defRPr sz="1000"/>
          </a:pPr>
          <a:endParaRPr lang="en-US" sz="1400" b="0" i="0" strike="noStrike">
            <a:solidFill>
              <a:srgbClr val="000000"/>
            </a:solidFill>
            <a:latin typeface="Times New Roman" pitchFamily="18" charset="0"/>
            <a:cs typeface="Times New Roman" pitchFamily="18" charset="0"/>
          </a:endParaRPr>
        </a:p>
      </xdr:txBody>
    </xdr:sp>
    <xdr:clientData/>
  </xdr:twoCellAnchor>
  <xdr:oneCellAnchor>
    <xdr:from>
      <xdr:col>6</xdr:col>
      <xdr:colOff>204107</xdr:colOff>
      <xdr:row>1</xdr:row>
      <xdr:rowOff>0</xdr:rowOff>
    </xdr:from>
    <xdr:ext cx="3271158" cy="147014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8177893" y="95250"/>
          <a:ext cx="3271158" cy="147014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9th Floor Unit N5 Times Plaza BuildingUnited Nations Avenue (Cor. Taft Avenue)</a:t>
          </a:r>
        </a:p>
        <a:p>
          <a:r>
            <a:rPr lang="en-US" sz="1100"/>
            <a:t>Ermita 1000</a:t>
          </a:r>
        </a:p>
        <a:p>
          <a:endParaRPr lang="en-US" sz="1100"/>
        </a:p>
        <a:p>
          <a:r>
            <a:rPr lang="en-US" sz="1100"/>
            <a:t>Telephone numbers: 353-8525; 353-8524</a:t>
          </a:r>
        </a:p>
        <a:p>
          <a:r>
            <a:rPr lang="en-US" sz="1100"/>
            <a:t>Fax: 353-8508</a:t>
          </a:r>
        </a:p>
        <a:p>
          <a:r>
            <a:rPr lang="en-US" sz="1100"/>
            <a:t>email: </a:t>
          </a:r>
          <a:r>
            <a:rPr lang="en-US" sz="1100">
              <a:hlinkClick xmlns:r="http://schemas.openxmlformats.org/officeDocument/2006/relationships" r:id=""/>
            </a:rPr>
            <a:t>loans@easycash.ph</a:t>
          </a:r>
          <a:endParaRPr lang="en-US" sz="1100"/>
        </a:p>
        <a:p>
          <a:endParaRPr lang="en-US" sz="1100"/>
        </a:p>
      </xdr:txBody>
    </xdr:sp>
    <xdr:clientData/>
  </xdr:oneCellAnchor>
  <xdr:twoCellAnchor editAs="oneCell">
    <xdr:from>
      <xdr:col>0</xdr:col>
      <xdr:colOff>13607</xdr:colOff>
      <xdr:row>1</xdr:row>
      <xdr:rowOff>136072</xdr:rowOff>
    </xdr:from>
    <xdr:to>
      <xdr:col>2</xdr:col>
      <xdr:colOff>926838</xdr:colOff>
      <xdr:row>2</xdr:row>
      <xdr:rowOff>331374</xdr:rowOff>
    </xdr:to>
    <xdr:pic>
      <xdr:nvPicPr>
        <xdr:cNvPr id="6" name="Picture 5" descr="easy-cash-web.pn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stretch>
          <a:fillRect/>
        </a:stretch>
      </xdr:blipFill>
      <xdr:spPr>
        <a:xfrm>
          <a:off x="13607" y="231322"/>
          <a:ext cx="3471374" cy="9300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304800</xdr:colOff>
      <xdr:row>0</xdr:row>
      <xdr:rowOff>19050</xdr:rowOff>
    </xdr:from>
    <xdr:ext cx="2781300" cy="1141146"/>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791200" y="19050"/>
          <a:ext cx="2781300" cy="114114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800"/>
            <a:t>9th Floor Unit N5 Times Plaza BuildingUnited Nations Avenue (Cor. Taft Avenue)</a:t>
          </a:r>
        </a:p>
        <a:p>
          <a:r>
            <a:rPr lang="en-US" sz="800"/>
            <a:t>Ermita 1000</a:t>
          </a:r>
        </a:p>
        <a:p>
          <a:endParaRPr lang="en-US" sz="800"/>
        </a:p>
        <a:p>
          <a:r>
            <a:rPr lang="en-US" sz="800"/>
            <a:t>Telephone numbers: 353-8525; 353-8524</a:t>
          </a:r>
        </a:p>
        <a:p>
          <a:r>
            <a:rPr lang="en-US" sz="800"/>
            <a:t>Fax: 353-8508</a:t>
          </a:r>
        </a:p>
        <a:p>
          <a:r>
            <a:rPr lang="en-US" sz="800"/>
            <a:t>email: </a:t>
          </a:r>
          <a:r>
            <a:rPr lang="en-US" sz="800">
              <a:hlinkClick xmlns:r="http://schemas.openxmlformats.org/officeDocument/2006/relationships" r:id=""/>
            </a:rPr>
            <a:t>loans@easycash.ph</a:t>
          </a:r>
          <a:endParaRPr lang="en-US" sz="800"/>
        </a:p>
        <a:p>
          <a:endParaRPr lang="en-US" sz="1100"/>
        </a:p>
      </xdr:txBody>
    </xdr:sp>
    <xdr:clientData/>
  </xdr:oneCellAnchor>
  <xdr:twoCellAnchor editAs="oneCell">
    <xdr:from>
      <xdr:col>0</xdr:col>
      <xdr:colOff>1</xdr:colOff>
      <xdr:row>68</xdr:row>
      <xdr:rowOff>38100</xdr:rowOff>
    </xdr:from>
    <xdr:to>
      <xdr:col>8</xdr:col>
      <xdr:colOff>85725</xdr:colOff>
      <xdr:row>78</xdr:row>
      <xdr:rowOff>0</xdr:rowOff>
    </xdr:to>
    <xdr:sp macro="" textlink="">
      <xdr:nvSpPr>
        <xdr:cNvPr id="3" name="Text Box 2">
          <a:extLst>
            <a:ext uri="{FF2B5EF4-FFF2-40B4-BE49-F238E27FC236}">
              <a16:creationId xmlns:a16="http://schemas.microsoft.com/office/drawing/2014/main" id="{00000000-0008-0000-0400-000003000000}"/>
            </a:ext>
          </a:extLst>
        </xdr:cNvPr>
        <xdr:cNvSpPr txBox="1">
          <a:spLocks noChangeArrowheads="1"/>
        </xdr:cNvSpPr>
      </xdr:nvSpPr>
      <xdr:spPr bwMode="auto">
        <a:xfrm>
          <a:off x="1" y="13496925"/>
          <a:ext cx="8439149" cy="1866900"/>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3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3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300" b="0" i="0" strike="noStrike" baseline="0">
              <a:solidFill>
                <a:srgbClr val="000000"/>
              </a:solidFill>
              <a:latin typeface="Times New Roman" pitchFamily="18" charset="0"/>
              <a:cs typeface="Times New Roman" pitchFamily="18" charset="0"/>
            </a:rPr>
            <a:t> </a:t>
          </a:r>
          <a:r>
            <a:rPr lang="en-US" sz="13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3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300" b="0" i="0" strike="noStrike" baseline="0">
              <a:solidFill>
                <a:srgbClr val="000000"/>
              </a:solidFill>
              <a:latin typeface="Times New Roman" pitchFamily="18" charset="0"/>
              <a:cs typeface="Times New Roman" pitchFamily="18" charset="0"/>
            </a:rPr>
            <a:t> for</a:t>
          </a:r>
          <a:r>
            <a:rPr lang="en-US" sz="1300" b="0" i="0" strike="noStrike">
              <a:solidFill>
                <a:srgbClr val="000000"/>
              </a:solidFill>
              <a:latin typeface="Times New Roman" pitchFamily="18" charset="0"/>
              <a:cs typeface="Times New Roman" pitchFamily="18" charset="0"/>
            </a:rPr>
            <a:t>mal request for delayed deposits of check payments.Payments</a:t>
          </a:r>
          <a:r>
            <a:rPr lang="en-US" sz="13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300" b="0" i="0" strike="noStrike">
            <a:solidFill>
              <a:srgbClr val="000000"/>
            </a:solidFill>
            <a:latin typeface="Times New Roman" pitchFamily="18" charset="0"/>
            <a:cs typeface="Times New Roman" pitchFamily="18" charset="0"/>
          </a:endParaRPr>
        </a:p>
        <a:p>
          <a:pPr algn="l" rtl="1">
            <a:defRPr sz="1000"/>
          </a:pPr>
          <a:endParaRPr lang="en-US" sz="1300" b="0" i="0" strike="noStrike">
            <a:solidFill>
              <a:srgbClr val="000000"/>
            </a:solidFill>
            <a:latin typeface="Times New Roman" pitchFamily="18" charset="0"/>
            <a:cs typeface="Times New Roman" pitchFamily="18" charset="0"/>
          </a:endParaRPr>
        </a:p>
        <a:p>
          <a:pPr algn="l" rtl="1">
            <a:defRPr sz="1000"/>
          </a:pPr>
          <a:endParaRPr lang="en-US" sz="1300" b="0" i="0" strike="noStrike">
            <a:solidFill>
              <a:srgbClr val="000000"/>
            </a:solidFill>
            <a:latin typeface="Times New Roman" pitchFamily="18" charset="0"/>
            <a:cs typeface="Times New Roman" pitchFamily="18" charset="0"/>
          </a:endParaRPr>
        </a:p>
      </xdr:txBody>
    </xdr:sp>
    <xdr:clientData/>
  </xdr:twoCellAnchor>
  <xdr:twoCellAnchor editAs="oneCell">
    <xdr:from>
      <xdr:col>0</xdr:col>
      <xdr:colOff>9526</xdr:colOff>
      <xdr:row>0</xdr:row>
      <xdr:rowOff>38100</xdr:rowOff>
    </xdr:from>
    <xdr:to>
      <xdr:col>2</xdr:col>
      <xdr:colOff>1</xdr:colOff>
      <xdr:row>1</xdr:row>
      <xdr:rowOff>506027</xdr:rowOff>
    </xdr:to>
    <xdr:pic>
      <xdr:nvPicPr>
        <xdr:cNvPr id="4" name="Picture 3" descr="easy-cash-web.pn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9526" y="38100"/>
          <a:ext cx="2457450" cy="6584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72</xdr:row>
      <xdr:rowOff>100854</xdr:rowOff>
    </xdr:from>
    <xdr:to>
      <xdr:col>8</xdr:col>
      <xdr:colOff>11205</xdr:colOff>
      <xdr:row>82</xdr:row>
      <xdr:rowOff>46504</xdr:rowOff>
    </xdr:to>
    <xdr:sp macro="" textlink="">
      <xdr:nvSpPr>
        <xdr:cNvPr id="4" name="Text Box 2">
          <a:extLst>
            <a:ext uri="{FF2B5EF4-FFF2-40B4-BE49-F238E27FC236}">
              <a16:creationId xmlns:a16="http://schemas.microsoft.com/office/drawing/2014/main" id="{00000000-0008-0000-0500-000004000000}"/>
            </a:ext>
          </a:extLst>
        </xdr:cNvPr>
        <xdr:cNvSpPr txBox="1">
          <a:spLocks noChangeArrowheads="1"/>
        </xdr:cNvSpPr>
      </xdr:nvSpPr>
      <xdr:spPr bwMode="auto">
        <a:xfrm>
          <a:off x="851647" y="18388854"/>
          <a:ext cx="8919882" cy="1927411"/>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4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4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400" b="0" i="0" strike="noStrike" baseline="0">
              <a:solidFill>
                <a:srgbClr val="000000"/>
              </a:solidFill>
              <a:latin typeface="Times New Roman" pitchFamily="18" charset="0"/>
              <a:cs typeface="Times New Roman" pitchFamily="18" charset="0"/>
            </a:rPr>
            <a:t> </a:t>
          </a:r>
          <a:r>
            <a:rPr lang="en-US" sz="14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4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400" b="0" i="0" strike="noStrike" baseline="0">
              <a:solidFill>
                <a:srgbClr val="000000"/>
              </a:solidFill>
              <a:latin typeface="Times New Roman" pitchFamily="18" charset="0"/>
              <a:cs typeface="Times New Roman" pitchFamily="18" charset="0"/>
            </a:rPr>
            <a:t> for</a:t>
          </a:r>
          <a:r>
            <a:rPr lang="en-US" sz="1400" b="0" i="0" strike="noStrike">
              <a:solidFill>
                <a:srgbClr val="000000"/>
              </a:solidFill>
              <a:latin typeface="Times New Roman" pitchFamily="18" charset="0"/>
              <a:cs typeface="Times New Roman" pitchFamily="18" charset="0"/>
            </a:rPr>
            <a:t>mal request for delayed deposits of check payments.Payments</a:t>
          </a:r>
          <a:r>
            <a:rPr lang="en-US" sz="14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400" b="0" i="0" strike="noStrike">
            <a:solidFill>
              <a:srgbClr val="000000"/>
            </a:solidFill>
            <a:latin typeface="Times New Roman" pitchFamily="18" charset="0"/>
            <a:cs typeface="Times New Roman" pitchFamily="18" charset="0"/>
          </a:endParaRPr>
        </a:p>
        <a:p>
          <a:pPr algn="l" rtl="1">
            <a:defRPr sz="1000"/>
          </a:pPr>
          <a:endParaRPr lang="en-US" sz="1600" b="0" i="0" strike="noStrike">
            <a:solidFill>
              <a:srgbClr val="000000"/>
            </a:solidFill>
            <a:latin typeface="Times New Roman" pitchFamily="18" charset="0"/>
            <a:cs typeface="Times New Roman" pitchFamily="18" charset="0"/>
          </a:endParaRPr>
        </a:p>
        <a:p>
          <a:pPr algn="l" rtl="1">
            <a:defRPr sz="1000"/>
          </a:pPr>
          <a:endParaRPr lang="en-US" sz="1200" b="0" i="0" strike="noStrike">
            <a:solidFill>
              <a:srgbClr val="000000"/>
            </a:solidFill>
            <a:latin typeface="Times New Roman" pitchFamily="18" charset="0"/>
            <a:cs typeface="Times New Roman" pitchFamily="18" charset="0"/>
          </a:endParaRPr>
        </a:p>
      </xdr:txBody>
    </xdr:sp>
    <xdr:clientData/>
  </xdr:twoCellAnchor>
  <xdr:twoCellAnchor editAs="oneCell">
    <xdr:from>
      <xdr:col>3</xdr:col>
      <xdr:colOff>89647</xdr:colOff>
      <xdr:row>0</xdr:row>
      <xdr:rowOff>89647</xdr:rowOff>
    </xdr:from>
    <xdr:to>
      <xdr:col>5</xdr:col>
      <xdr:colOff>927638</xdr:colOff>
      <xdr:row>2</xdr:row>
      <xdr:rowOff>190500</xdr:rowOff>
    </xdr:to>
    <xdr:pic>
      <xdr:nvPicPr>
        <xdr:cNvPr id="6" name="Picture 5" descr="easy-cash-web.pn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stretch>
          <a:fillRect/>
        </a:stretch>
      </xdr:blipFill>
      <xdr:spPr>
        <a:xfrm>
          <a:off x="3787588" y="89647"/>
          <a:ext cx="3471374" cy="9300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27222</xdr:colOff>
      <xdr:row>71</xdr:row>
      <xdr:rowOff>196097</xdr:rowOff>
    </xdr:from>
    <xdr:to>
      <xdr:col>8</xdr:col>
      <xdr:colOff>1292678</xdr:colOff>
      <xdr:row>82</xdr:row>
      <xdr:rowOff>40821</xdr:rowOff>
    </xdr:to>
    <xdr:sp macro="" textlink="">
      <xdr:nvSpPr>
        <xdr:cNvPr id="2" name="Text Box 2">
          <a:extLst>
            <a:ext uri="{FF2B5EF4-FFF2-40B4-BE49-F238E27FC236}">
              <a16:creationId xmlns:a16="http://schemas.microsoft.com/office/drawing/2014/main" id="{00000000-0008-0000-0600-000002000000}"/>
            </a:ext>
          </a:extLst>
        </xdr:cNvPr>
        <xdr:cNvSpPr txBox="1">
          <a:spLocks noChangeArrowheads="1"/>
        </xdr:cNvSpPr>
      </xdr:nvSpPr>
      <xdr:spPr bwMode="auto">
        <a:xfrm>
          <a:off x="27222" y="18445997"/>
          <a:ext cx="11342906" cy="1806874"/>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6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6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600" b="0" i="0" strike="noStrike" baseline="0">
              <a:solidFill>
                <a:srgbClr val="000000"/>
              </a:solidFill>
              <a:latin typeface="Times New Roman" pitchFamily="18" charset="0"/>
              <a:cs typeface="Times New Roman" pitchFamily="18" charset="0"/>
            </a:rPr>
            <a:t> </a:t>
          </a:r>
          <a:r>
            <a:rPr lang="en-US" sz="16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6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600" b="0" i="0" strike="noStrike" baseline="0">
              <a:solidFill>
                <a:srgbClr val="000000"/>
              </a:solidFill>
              <a:latin typeface="Times New Roman" pitchFamily="18" charset="0"/>
              <a:cs typeface="Times New Roman" pitchFamily="18" charset="0"/>
            </a:rPr>
            <a:t> for</a:t>
          </a:r>
          <a:r>
            <a:rPr lang="en-US" sz="1600" b="0" i="0" strike="noStrike">
              <a:solidFill>
                <a:srgbClr val="000000"/>
              </a:solidFill>
              <a:latin typeface="Times New Roman" pitchFamily="18" charset="0"/>
              <a:cs typeface="Times New Roman" pitchFamily="18" charset="0"/>
            </a:rPr>
            <a:t>mal request for delayed deposits of check payments.Payments</a:t>
          </a:r>
          <a:r>
            <a:rPr lang="en-US" sz="16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600" b="0" i="0" strike="noStrike">
            <a:solidFill>
              <a:srgbClr val="000000"/>
            </a:solidFill>
            <a:latin typeface="Times New Roman" pitchFamily="18" charset="0"/>
            <a:cs typeface="Times New Roman" pitchFamily="18" charset="0"/>
          </a:endParaRPr>
        </a:p>
        <a:p>
          <a:pPr algn="l" rtl="1">
            <a:defRPr sz="1000"/>
          </a:pPr>
          <a:endParaRPr lang="en-US" sz="1800" b="0" i="0" strike="noStrike">
            <a:solidFill>
              <a:srgbClr val="000000"/>
            </a:solidFill>
            <a:latin typeface="Times New Roman" pitchFamily="18" charset="0"/>
            <a:cs typeface="Times New Roman" pitchFamily="18" charset="0"/>
          </a:endParaRPr>
        </a:p>
        <a:p>
          <a:pPr algn="l" rtl="1">
            <a:defRPr sz="1000"/>
          </a:pPr>
          <a:endParaRPr lang="en-US" sz="1400" b="0" i="0" strike="noStrike">
            <a:solidFill>
              <a:srgbClr val="000000"/>
            </a:solidFill>
            <a:latin typeface="Times New Roman" pitchFamily="18" charset="0"/>
            <a:cs typeface="Times New Roman" pitchFamily="18" charset="0"/>
          </a:endParaRPr>
        </a:p>
      </xdr:txBody>
    </xdr:sp>
    <xdr:clientData/>
  </xdr:twoCellAnchor>
  <xdr:oneCellAnchor>
    <xdr:from>
      <xdr:col>6</xdr:col>
      <xdr:colOff>204107</xdr:colOff>
      <xdr:row>1</xdr:row>
      <xdr:rowOff>0</xdr:rowOff>
    </xdr:from>
    <xdr:ext cx="3271158" cy="1470146"/>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8157482" y="95250"/>
          <a:ext cx="3271158" cy="147014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9th Floor Unit N5 Times Plaza BuildingUnited Nations Avenue (Cor. Taft Avenue)</a:t>
          </a:r>
        </a:p>
        <a:p>
          <a:r>
            <a:rPr lang="en-US" sz="1100"/>
            <a:t>Ermita 1000</a:t>
          </a:r>
        </a:p>
        <a:p>
          <a:endParaRPr lang="en-US" sz="1100"/>
        </a:p>
        <a:p>
          <a:r>
            <a:rPr lang="en-US" sz="1100"/>
            <a:t>Telephone numbers: 353-8525; 353-8524</a:t>
          </a:r>
        </a:p>
        <a:p>
          <a:r>
            <a:rPr lang="en-US" sz="1100"/>
            <a:t>Fax: 353-8508</a:t>
          </a:r>
        </a:p>
        <a:p>
          <a:r>
            <a:rPr lang="en-US" sz="1100"/>
            <a:t>email: </a:t>
          </a:r>
          <a:r>
            <a:rPr lang="en-US" sz="1100">
              <a:hlinkClick xmlns:r="http://schemas.openxmlformats.org/officeDocument/2006/relationships" r:id=""/>
            </a:rPr>
            <a:t>loans@easycash.ph</a:t>
          </a:r>
          <a:endParaRPr lang="en-US" sz="1100"/>
        </a:p>
        <a:p>
          <a:endParaRPr lang="en-US" sz="1100"/>
        </a:p>
      </xdr:txBody>
    </xdr:sp>
    <xdr:clientData/>
  </xdr:oneCellAnchor>
  <xdr:twoCellAnchor editAs="oneCell">
    <xdr:from>
      <xdr:col>0</xdr:col>
      <xdr:colOff>13607</xdr:colOff>
      <xdr:row>1</xdr:row>
      <xdr:rowOff>136072</xdr:rowOff>
    </xdr:from>
    <xdr:to>
      <xdr:col>2</xdr:col>
      <xdr:colOff>926838</xdr:colOff>
      <xdr:row>2</xdr:row>
      <xdr:rowOff>331374</xdr:rowOff>
    </xdr:to>
    <xdr:pic>
      <xdr:nvPicPr>
        <xdr:cNvPr id="4" name="Picture 3" descr="easy-cash-web.pn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13607" y="231322"/>
          <a:ext cx="3465931" cy="9287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817470</xdr:colOff>
      <xdr:row>72</xdr:row>
      <xdr:rowOff>38661</xdr:rowOff>
    </xdr:from>
    <xdr:to>
      <xdr:col>7</xdr:col>
      <xdr:colOff>1310528</xdr:colOff>
      <xdr:row>81</xdr:row>
      <xdr:rowOff>161925</xdr:rowOff>
    </xdr:to>
    <xdr:sp macro="" textlink="">
      <xdr:nvSpPr>
        <xdr:cNvPr id="4" name="Text Box 2">
          <a:extLst>
            <a:ext uri="{FF2B5EF4-FFF2-40B4-BE49-F238E27FC236}">
              <a16:creationId xmlns:a16="http://schemas.microsoft.com/office/drawing/2014/main" id="{00000000-0008-0000-0700-000004000000}"/>
            </a:ext>
          </a:extLst>
        </xdr:cNvPr>
        <xdr:cNvSpPr txBox="1">
          <a:spLocks noChangeArrowheads="1"/>
        </xdr:cNvSpPr>
      </xdr:nvSpPr>
      <xdr:spPr bwMode="auto">
        <a:xfrm>
          <a:off x="817470" y="18405102"/>
          <a:ext cx="8919882" cy="1927411"/>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4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4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400" b="0" i="0" strike="noStrike" baseline="0">
              <a:solidFill>
                <a:srgbClr val="000000"/>
              </a:solidFill>
              <a:latin typeface="Times New Roman" pitchFamily="18" charset="0"/>
              <a:cs typeface="Times New Roman" pitchFamily="18" charset="0"/>
            </a:rPr>
            <a:t> </a:t>
          </a:r>
          <a:r>
            <a:rPr lang="en-US" sz="14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4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400" b="0" i="0" strike="noStrike" baseline="0">
              <a:solidFill>
                <a:srgbClr val="000000"/>
              </a:solidFill>
              <a:latin typeface="Times New Roman" pitchFamily="18" charset="0"/>
              <a:cs typeface="Times New Roman" pitchFamily="18" charset="0"/>
            </a:rPr>
            <a:t> for</a:t>
          </a:r>
          <a:r>
            <a:rPr lang="en-US" sz="1400" b="0" i="0" strike="noStrike">
              <a:solidFill>
                <a:srgbClr val="000000"/>
              </a:solidFill>
              <a:latin typeface="Times New Roman" pitchFamily="18" charset="0"/>
              <a:cs typeface="Times New Roman" pitchFamily="18" charset="0"/>
            </a:rPr>
            <a:t>mal request for delayed deposits of check payments.Payments</a:t>
          </a:r>
          <a:r>
            <a:rPr lang="en-US" sz="14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400" b="0" i="0" strike="noStrike">
            <a:solidFill>
              <a:srgbClr val="000000"/>
            </a:solidFill>
            <a:latin typeface="Times New Roman" pitchFamily="18" charset="0"/>
            <a:cs typeface="Times New Roman" pitchFamily="18" charset="0"/>
          </a:endParaRPr>
        </a:p>
        <a:p>
          <a:pPr algn="l" rtl="1">
            <a:defRPr sz="1000"/>
          </a:pPr>
          <a:endParaRPr lang="en-US" sz="1600" b="0" i="0" strike="noStrike">
            <a:solidFill>
              <a:srgbClr val="000000"/>
            </a:solidFill>
            <a:latin typeface="Times New Roman" pitchFamily="18" charset="0"/>
            <a:cs typeface="Times New Roman" pitchFamily="18" charset="0"/>
          </a:endParaRPr>
        </a:p>
        <a:p>
          <a:pPr algn="l" rtl="1">
            <a:defRPr sz="1000"/>
          </a:pPr>
          <a:endParaRPr lang="en-US" sz="1200" b="0" i="0" strike="noStrike">
            <a:solidFill>
              <a:srgbClr val="000000"/>
            </a:solidFill>
            <a:latin typeface="Times New Roman" pitchFamily="18" charset="0"/>
            <a:cs typeface="Times New Roman" pitchFamily="18" charset="0"/>
          </a:endParaRPr>
        </a:p>
      </xdr:txBody>
    </xdr:sp>
    <xdr:clientData/>
  </xdr:twoCellAnchor>
  <xdr:oneCellAnchor>
    <xdr:from>
      <xdr:col>5</xdr:col>
      <xdr:colOff>1210236</xdr:colOff>
      <xdr:row>0</xdr:row>
      <xdr:rowOff>78442</xdr:rowOff>
    </xdr:from>
    <xdr:ext cx="3271158" cy="1470146"/>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7541560" y="78442"/>
          <a:ext cx="3271158" cy="147014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9th Floor Unit N5 Times Plaza BuildingUnited Nations Avenue (Cor. Taft Avenue)</a:t>
          </a:r>
        </a:p>
        <a:p>
          <a:r>
            <a:rPr lang="en-US" sz="1100"/>
            <a:t>Ermita 1000</a:t>
          </a:r>
        </a:p>
        <a:p>
          <a:endParaRPr lang="en-US" sz="1100"/>
        </a:p>
        <a:p>
          <a:r>
            <a:rPr lang="en-US" sz="1100"/>
            <a:t>Telephone numbers: 353-8525; 353-8524</a:t>
          </a:r>
        </a:p>
        <a:p>
          <a:r>
            <a:rPr lang="en-US" sz="1100"/>
            <a:t>Fax: 353-8508</a:t>
          </a:r>
        </a:p>
        <a:p>
          <a:r>
            <a:rPr lang="en-US" sz="1100"/>
            <a:t>email: </a:t>
          </a:r>
          <a:r>
            <a:rPr lang="en-US" sz="1100">
              <a:hlinkClick xmlns:r="http://schemas.openxmlformats.org/officeDocument/2006/relationships" r:id=""/>
            </a:rPr>
            <a:t>loans@easycash.ph</a:t>
          </a:r>
          <a:endParaRPr lang="en-US" sz="1100"/>
        </a:p>
        <a:p>
          <a:endParaRPr lang="en-US" sz="1100"/>
        </a:p>
      </xdr:txBody>
    </xdr:sp>
    <xdr:clientData/>
  </xdr:oneCellAnchor>
  <xdr:twoCellAnchor>
    <xdr:from>
      <xdr:col>0</xdr:col>
      <xdr:colOff>56029</xdr:colOff>
      <xdr:row>5</xdr:row>
      <xdr:rowOff>56030</xdr:rowOff>
    </xdr:from>
    <xdr:to>
      <xdr:col>8</xdr:col>
      <xdr:colOff>1064558</xdr:colOff>
      <xdr:row>5</xdr:row>
      <xdr:rowOff>57618</xdr:rowOff>
    </xdr:to>
    <xdr:cxnSp macro="">
      <xdr:nvCxnSpPr>
        <xdr:cNvPr id="8" name="Straight Connector 7">
          <a:extLst>
            <a:ext uri="{FF2B5EF4-FFF2-40B4-BE49-F238E27FC236}">
              <a16:creationId xmlns:a16="http://schemas.microsoft.com/office/drawing/2014/main" id="{00000000-0008-0000-0700-000008000000}"/>
            </a:ext>
          </a:extLst>
        </xdr:cNvPr>
        <xdr:cNvCxnSpPr/>
      </xdr:nvCxnSpPr>
      <xdr:spPr>
        <a:xfrm>
          <a:off x="56029" y="1456765"/>
          <a:ext cx="10768853"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22412</xdr:colOff>
      <xdr:row>1</xdr:row>
      <xdr:rowOff>123264</xdr:rowOff>
    </xdr:from>
    <xdr:to>
      <xdr:col>2</xdr:col>
      <xdr:colOff>1723257</xdr:colOff>
      <xdr:row>3</xdr:row>
      <xdr:rowOff>89646</xdr:rowOff>
    </xdr:to>
    <xdr:pic>
      <xdr:nvPicPr>
        <xdr:cNvPr id="7" name="Picture 6" descr="easy-cash-web.png">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cstate="print"/>
        <a:stretch>
          <a:fillRect/>
        </a:stretch>
      </xdr:blipFill>
      <xdr:spPr>
        <a:xfrm>
          <a:off x="22412" y="224117"/>
          <a:ext cx="3471374" cy="930088"/>
        </a:xfrm>
        <a:prstGeom prst="rect">
          <a:avLst/>
        </a:prstGeom>
      </xdr:spPr>
    </xdr:pic>
    <xdr:clientData/>
  </xdr:twoCellAnchor>
  <mc:AlternateContent xmlns:mc="http://schemas.openxmlformats.org/markup-compatibility/2006">
    <mc:Choice xmlns:a14="http://schemas.microsoft.com/office/drawing/2010/main" Requires="a14">
      <xdr:twoCellAnchor>
        <xdr:from>
          <xdr:col>9</xdr:col>
          <xdr:colOff>619125</xdr:colOff>
          <xdr:row>1</xdr:row>
          <xdr:rowOff>180975</xdr:rowOff>
        </xdr:from>
        <xdr:to>
          <xdr:col>9</xdr:col>
          <xdr:colOff>2143125</xdr:colOff>
          <xdr:row>5</xdr:row>
          <xdr:rowOff>66675</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0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Back to Data Input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590550</xdr:colOff>
          <xdr:row>5</xdr:row>
          <xdr:rowOff>142875</xdr:rowOff>
        </xdr:from>
        <xdr:to>
          <xdr:col>9</xdr:col>
          <xdr:colOff>2143125</xdr:colOff>
          <xdr:row>8</xdr:row>
          <xdr:rowOff>85725</xdr:rowOff>
        </xdr:to>
        <xdr:sp macro="" textlink="">
          <xdr:nvSpPr>
            <xdr:cNvPr id="14338" name="Button 2" hidden="1">
              <a:extLst>
                <a:ext uri="{63B3BB69-23CF-44E3-9099-C40C66FF867C}">
                  <a14:compatExt spid="_x0000_s14338"/>
                </a:ext>
                <a:ext uri="{FF2B5EF4-FFF2-40B4-BE49-F238E27FC236}">
                  <a16:creationId xmlns:a16="http://schemas.microsoft.com/office/drawing/2014/main" id="{00000000-0008-0000-0700-000002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Return to Menu</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619125</xdr:colOff>
          <xdr:row>8</xdr:row>
          <xdr:rowOff>180975</xdr:rowOff>
        </xdr:from>
        <xdr:to>
          <xdr:col>9</xdr:col>
          <xdr:colOff>2133600</xdr:colOff>
          <xdr:row>10</xdr:row>
          <xdr:rowOff>219075</xdr:rowOff>
        </xdr:to>
        <xdr:sp macro="" textlink="">
          <xdr:nvSpPr>
            <xdr:cNvPr id="14339" name="Button 3" hidden="1">
              <a:extLst>
                <a:ext uri="{63B3BB69-23CF-44E3-9099-C40C66FF867C}">
                  <a14:compatExt spid="_x0000_s14339"/>
                </a:ext>
                <a:ext uri="{FF2B5EF4-FFF2-40B4-BE49-F238E27FC236}">
                  <a16:creationId xmlns:a16="http://schemas.microsoft.com/office/drawing/2014/main" id="{00000000-0008-0000-0700-00000338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US" sz="1800" b="1" i="0" u="none" strike="noStrike" baseline="0">
                  <a:solidFill>
                    <a:srgbClr val="FF0000"/>
                  </a:solidFill>
                  <a:latin typeface="Arial"/>
                  <a:cs typeface="Arial"/>
                </a:rPr>
                <a:t>Click to Save</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xdr:col>
      <xdr:colOff>0</xdr:colOff>
      <xdr:row>94</xdr:row>
      <xdr:rowOff>81642</xdr:rowOff>
    </xdr:from>
    <xdr:to>
      <xdr:col>8</xdr:col>
      <xdr:colOff>34418</xdr:colOff>
      <xdr:row>104</xdr:row>
      <xdr:rowOff>49624</xdr:rowOff>
    </xdr:to>
    <xdr:sp macro="" textlink="">
      <xdr:nvSpPr>
        <xdr:cNvPr id="5" name="Text Box 2">
          <a:extLst>
            <a:ext uri="{FF2B5EF4-FFF2-40B4-BE49-F238E27FC236}">
              <a16:creationId xmlns:a16="http://schemas.microsoft.com/office/drawing/2014/main" id="{00000000-0008-0000-0800-000005000000}"/>
            </a:ext>
          </a:extLst>
        </xdr:cNvPr>
        <xdr:cNvSpPr txBox="1">
          <a:spLocks noChangeArrowheads="1"/>
        </xdr:cNvSpPr>
      </xdr:nvSpPr>
      <xdr:spPr bwMode="auto">
        <a:xfrm>
          <a:off x="843643" y="23989392"/>
          <a:ext cx="8919882" cy="1927411"/>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400" b="0" i="0" strike="noStrike">
              <a:solidFill>
                <a:srgbClr val="000000"/>
              </a:solidFill>
              <a:latin typeface="Times New Roman" pitchFamily="18" charset="0"/>
              <a:cs typeface="Times New Roman" pitchFamily="18" charset="0"/>
            </a:rPr>
            <a:t>1. Pay only to the authorized Cashier or Collector of EasyCash Lending Co., Inc.</a:t>
          </a:r>
        </a:p>
        <a:p>
          <a:pPr algn="l" rtl="1">
            <a:defRPr sz="1000"/>
          </a:pPr>
          <a:r>
            <a:rPr lang="en-US" sz="1400" b="0" i="0" strike="noStrike">
              <a:solidFill>
                <a:srgbClr val="000000"/>
              </a:solidFill>
              <a:latin typeface="Times New Roman" pitchFamily="18" charset="0"/>
              <a:cs typeface="Times New Roman" pitchFamily="18" charset="0"/>
            </a:rPr>
            <a:t>2. Always demand for an Official Receipt bearing the name of EasyCash Lending Company, Inc. everytime payment ismade to the authorized Cashier or Collector. The company will not honor any future claim of payment if such amount is</a:t>
          </a:r>
          <a:r>
            <a:rPr lang="en-US" sz="1400" b="0" i="0" strike="noStrike" baseline="0">
              <a:solidFill>
                <a:srgbClr val="000000"/>
              </a:solidFill>
              <a:latin typeface="Times New Roman" pitchFamily="18" charset="0"/>
              <a:cs typeface="Times New Roman" pitchFamily="18" charset="0"/>
            </a:rPr>
            <a:t> </a:t>
          </a:r>
          <a:r>
            <a:rPr lang="en-US" sz="1400" b="0" i="0" strike="noStrike">
              <a:solidFill>
                <a:srgbClr val="000000"/>
              </a:solidFill>
              <a:latin typeface="Times New Roman" pitchFamily="18" charset="0"/>
              <a:cs typeface="Times New Roman" pitchFamily="18" charset="0"/>
            </a:rPr>
            <a:t>acknowledged or issued with an ordinary paper (Provisional Receipt) or any receipt not owned by EasyCash Lending Co., Inc.</a:t>
          </a:r>
        </a:p>
        <a:p>
          <a:pPr algn="l" rtl="1">
            <a:defRPr sz="1000"/>
          </a:pPr>
          <a:r>
            <a:rPr lang="en-US" sz="1400" b="0" i="0" strike="noStrike">
              <a:solidFill>
                <a:srgbClr val="000000"/>
              </a:solidFill>
              <a:latin typeface="Times New Roman" pitchFamily="18" charset="0"/>
              <a:cs typeface="Times New Roman" pitchFamily="18" charset="0"/>
            </a:rPr>
            <a:t>3. Please pay your amortization dues on-time. Past dues will be charged with a penalty of 10% per month plus a holding fee of 5% of the check amount in case of </a:t>
          </a:r>
          <a:r>
            <a:rPr lang="en-US" sz="1400" b="0" i="0" strike="noStrike" baseline="0">
              <a:solidFill>
                <a:srgbClr val="000000"/>
              </a:solidFill>
              <a:latin typeface="Times New Roman" pitchFamily="18" charset="0"/>
              <a:cs typeface="Times New Roman" pitchFamily="18" charset="0"/>
            </a:rPr>
            <a:t> for</a:t>
          </a:r>
          <a:r>
            <a:rPr lang="en-US" sz="1400" b="0" i="0" strike="noStrike">
              <a:solidFill>
                <a:srgbClr val="000000"/>
              </a:solidFill>
              <a:latin typeface="Times New Roman" pitchFamily="18" charset="0"/>
              <a:cs typeface="Times New Roman" pitchFamily="18" charset="0"/>
            </a:rPr>
            <a:t>mal request for delayed deposits of check payments.Payments</a:t>
          </a:r>
          <a:r>
            <a:rPr lang="en-US" sz="1400" b="0" i="0" strike="noStrike" baseline="0">
              <a:solidFill>
                <a:srgbClr val="000000"/>
              </a:solidFill>
              <a:latin typeface="Times New Roman" pitchFamily="18" charset="0"/>
              <a:cs typeface="Times New Roman" pitchFamily="18" charset="0"/>
            </a:rPr>
            <a:t> made after due date shall be applied  first  to penalties, interest and principal.  </a:t>
          </a:r>
          <a:endParaRPr lang="en-US" sz="1400" b="0" i="0" strike="noStrike">
            <a:solidFill>
              <a:srgbClr val="000000"/>
            </a:solidFill>
            <a:latin typeface="Times New Roman" pitchFamily="18" charset="0"/>
            <a:cs typeface="Times New Roman" pitchFamily="18" charset="0"/>
          </a:endParaRPr>
        </a:p>
        <a:p>
          <a:pPr algn="l" rtl="1">
            <a:defRPr sz="1000"/>
          </a:pPr>
          <a:endParaRPr lang="en-US" sz="1600" b="0" i="0" strike="noStrike">
            <a:solidFill>
              <a:srgbClr val="000000"/>
            </a:solidFill>
            <a:latin typeface="Times New Roman" pitchFamily="18" charset="0"/>
            <a:cs typeface="Times New Roman" pitchFamily="18" charset="0"/>
          </a:endParaRPr>
        </a:p>
        <a:p>
          <a:pPr algn="l" rtl="1">
            <a:defRPr sz="1000"/>
          </a:pPr>
          <a:endParaRPr lang="en-US" sz="1200" b="0" i="0" strike="noStrike">
            <a:solidFill>
              <a:srgbClr val="000000"/>
            </a:solidFill>
            <a:latin typeface="Times New Roman" pitchFamily="18" charset="0"/>
            <a:cs typeface="Times New Roman" pitchFamily="18" charset="0"/>
          </a:endParaRPr>
        </a:p>
      </xdr:txBody>
    </xdr:sp>
    <xdr:clientData/>
  </xdr:twoCellAnchor>
  <xdr:twoCellAnchor editAs="oneCell">
    <xdr:from>
      <xdr:col>3</xdr:col>
      <xdr:colOff>68035</xdr:colOff>
      <xdr:row>0</xdr:row>
      <xdr:rowOff>0</xdr:rowOff>
    </xdr:from>
    <xdr:to>
      <xdr:col>5</xdr:col>
      <xdr:colOff>899624</xdr:colOff>
      <xdr:row>2</xdr:row>
      <xdr:rowOff>113659</xdr:rowOff>
    </xdr:to>
    <xdr:pic>
      <xdr:nvPicPr>
        <xdr:cNvPr id="4" name="Picture 3" descr="easy-cash-web.pn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stretch>
          <a:fillRect/>
        </a:stretch>
      </xdr:blipFill>
      <xdr:spPr>
        <a:xfrm>
          <a:off x="3741964" y="0"/>
          <a:ext cx="3471374" cy="930088"/>
        </a:xfrm>
        <a:prstGeom prst="rect">
          <a:avLst/>
        </a:prstGeom>
      </xdr:spPr>
    </xdr:pic>
    <xdr:clientData/>
  </xdr:twoCellAnchor>
  <mc:AlternateContent xmlns:mc="http://schemas.openxmlformats.org/markup-compatibility/2006">
    <mc:Choice xmlns:a14="http://schemas.microsoft.com/office/drawing/2010/main" Requires="a14">
      <xdr:twoCellAnchor>
        <xdr:from>
          <xdr:col>9</xdr:col>
          <xdr:colOff>619125</xdr:colOff>
          <xdr:row>1</xdr:row>
          <xdr:rowOff>180975</xdr:rowOff>
        </xdr:from>
        <xdr:to>
          <xdr:col>9</xdr:col>
          <xdr:colOff>2143125</xdr:colOff>
          <xdr:row>5</xdr:row>
          <xdr:rowOff>66675</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08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Back to Data Input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590550</xdr:colOff>
          <xdr:row>5</xdr:row>
          <xdr:rowOff>142875</xdr:rowOff>
        </xdr:from>
        <xdr:to>
          <xdr:col>9</xdr:col>
          <xdr:colOff>2143125</xdr:colOff>
          <xdr:row>7</xdr:row>
          <xdr:rowOff>85725</xdr:rowOff>
        </xdr:to>
        <xdr:sp macro="" textlink="">
          <xdr:nvSpPr>
            <xdr:cNvPr id="15362" name="Button 2" hidden="1">
              <a:extLst>
                <a:ext uri="{63B3BB69-23CF-44E3-9099-C40C66FF867C}">
                  <a14:compatExt spid="_x0000_s15362"/>
                </a:ext>
                <a:ext uri="{FF2B5EF4-FFF2-40B4-BE49-F238E27FC236}">
                  <a16:creationId xmlns:a16="http://schemas.microsoft.com/office/drawing/2014/main" id="{00000000-0008-0000-0800-000002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200" b="1" i="0" u="none" strike="noStrike" baseline="0">
                  <a:solidFill>
                    <a:srgbClr val="000000"/>
                  </a:solidFill>
                  <a:latin typeface="Arial"/>
                  <a:cs typeface="Arial"/>
                </a:rPr>
                <a:t>Return to Menu</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619125</xdr:colOff>
          <xdr:row>7</xdr:row>
          <xdr:rowOff>180975</xdr:rowOff>
        </xdr:from>
        <xdr:to>
          <xdr:col>9</xdr:col>
          <xdr:colOff>2133600</xdr:colOff>
          <xdr:row>9</xdr:row>
          <xdr:rowOff>266700</xdr:rowOff>
        </xdr:to>
        <xdr:sp macro="" textlink="">
          <xdr:nvSpPr>
            <xdr:cNvPr id="15363" name="Button 3" hidden="1">
              <a:extLst>
                <a:ext uri="{63B3BB69-23CF-44E3-9099-C40C66FF867C}">
                  <a14:compatExt spid="_x0000_s15363"/>
                </a:ext>
                <a:ext uri="{FF2B5EF4-FFF2-40B4-BE49-F238E27FC236}">
                  <a16:creationId xmlns:a16="http://schemas.microsoft.com/office/drawing/2014/main" id="{00000000-0008-0000-0800-0000033C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US" sz="1800" b="1" i="0" u="none" strike="noStrike" baseline="0">
                  <a:solidFill>
                    <a:srgbClr val="FF0000"/>
                  </a:solidFill>
                  <a:latin typeface="Arial"/>
                  <a:cs typeface="Arial"/>
                </a:rPr>
                <a:t>Click to Save</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4</xdr:col>
      <xdr:colOff>71474</xdr:colOff>
      <xdr:row>19</xdr:row>
      <xdr:rowOff>80036</xdr:rowOff>
    </xdr:from>
    <xdr:to>
      <xdr:col>5</xdr:col>
      <xdr:colOff>246062</xdr:colOff>
      <xdr:row>20</xdr:row>
      <xdr:rowOff>95250</xdr:rowOff>
    </xdr:to>
    <xdr:sp macro="" textlink="">
      <xdr:nvSpPr>
        <xdr:cNvPr id="2" name="Right Arrow 1">
          <a:extLst>
            <a:ext uri="{FF2B5EF4-FFF2-40B4-BE49-F238E27FC236}">
              <a16:creationId xmlns:a16="http://schemas.microsoft.com/office/drawing/2014/main" id="{00000000-0008-0000-0D00-000002000000}"/>
            </a:ext>
          </a:extLst>
        </xdr:cNvPr>
        <xdr:cNvSpPr/>
      </xdr:nvSpPr>
      <xdr:spPr>
        <a:xfrm rot="10800000">
          <a:off x="2509874" y="3156611"/>
          <a:ext cx="784188" cy="177139"/>
        </a:xfrm>
        <a:prstGeom prst="rightArrow">
          <a:avLst/>
        </a:prstGeom>
        <a:solidFill>
          <a:schemeClr val="tx1"/>
        </a:solidFill>
        <a:ln w="3175"/>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4</xdr:col>
      <xdr:colOff>63537</xdr:colOff>
      <xdr:row>22</xdr:row>
      <xdr:rowOff>87974</xdr:rowOff>
    </xdr:from>
    <xdr:to>
      <xdr:col>5</xdr:col>
      <xdr:colOff>238125</xdr:colOff>
      <xdr:row>23</xdr:row>
      <xdr:rowOff>103188</xdr:rowOff>
    </xdr:to>
    <xdr:sp macro="" textlink="">
      <xdr:nvSpPr>
        <xdr:cNvPr id="3" name="Right Arrow 2">
          <a:extLst>
            <a:ext uri="{FF2B5EF4-FFF2-40B4-BE49-F238E27FC236}">
              <a16:creationId xmlns:a16="http://schemas.microsoft.com/office/drawing/2014/main" id="{00000000-0008-0000-0D00-000003000000}"/>
            </a:ext>
          </a:extLst>
        </xdr:cNvPr>
        <xdr:cNvSpPr/>
      </xdr:nvSpPr>
      <xdr:spPr>
        <a:xfrm rot="10800000">
          <a:off x="2501937" y="3650324"/>
          <a:ext cx="784188" cy="177139"/>
        </a:xfrm>
        <a:prstGeom prst="rightArrow">
          <a:avLst/>
        </a:prstGeom>
        <a:solidFill>
          <a:schemeClr val="tx1"/>
        </a:solidFill>
        <a:ln w="3175"/>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Nomer/Downloads/CSver3.xlsx" TargetMode="External"/><Relationship Id="rId1" Type="http://schemas.openxmlformats.org/officeDocument/2006/relationships/externalLinkPath" Target="/Users/Nomer/Downloads/CSver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Master data Input"/>
      <sheetName val="(New)Amort. Sched-Diminishing"/>
      <sheetName val="Client Copy_Schedule-Dim. (2)"/>
      <sheetName val="Computation Sheet"/>
      <sheetName val="Semi Monthly"/>
      <sheetName val="48 payments (computation)semi"/>
      <sheetName val="Sheet3"/>
      <sheetName val="Agent"/>
      <sheetName val="Sheet1"/>
    </sheetNames>
    <sheetDataSet>
      <sheetData sheetId="0" refreshError="1"/>
      <sheetData sheetId="1">
        <row r="5">
          <cell r="C5" t="str">
            <v>Jaybee Bruna</v>
          </cell>
          <cell r="E5" t="str">
            <v>Donna Bruna</v>
          </cell>
        </row>
        <row r="7">
          <cell r="C7" t="str">
            <v>No. 8 Cardenas St., Zone 2 Signal Village, Taguig City</v>
          </cell>
        </row>
        <row r="9">
          <cell r="C9">
            <v>24413.040000000001</v>
          </cell>
          <cell r="F9" t="str">
            <v>.</v>
          </cell>
        </row>
        <row r="11">
          <cell r="E11" t="str">
            <v>Cash Advance</v>
          </cell>
          <cell r="F11">
            <v>0</v>
          </cell>
        </row>
        <row r="13">
          <cell r="C13" t="str">
            <v>BL-R</v>
          </cell>
          <cell r="F13" t="str">
            <v>WALK IN</v>
          </cell>
        </row>
        <row r="15">
          <cell r="C15" t="str">
            <v>NO</v>
          </cell>
        </row>
        <row r="17">
          <cell r="C17" t="str">
            <v>YES</v>
          </cell>
        </row>
        <row r="19">
          <cell r="C19" t="str">
            <v>Monthly</v>
          </cell>
        </row>
        <row r="23">
          <cell r="C23">
            <v>2.75E-2</v>
          </cell>
        </row>
        <row r="25">
          <cell r="C25">
            <v>0.08</v>
          </cell>
        </row>
        <row r="27">
          <cell r="C27">
            <v>42562</v>
          </cell>
        </row>
        <row r="29">
          <cell r="C29">
            <v>42592</v>
          </cell>
        </row>
        <row r="31">
          <cell r="C31">
            <v>3</v>
          </cell>
        </row>
        <row r="33">
          <cell r="C33">
            <v>3</v>
          </cell>
          <cell r="F33">
            <v>42646</v>
          </cell>
        </row>
        <row r="37">
          <cell r="C37">
            <v>500</v>
          </cell>
        </row>
        <row r="39">
          <cell r="C39">
            <v>1000</v>
          </cell>
        </row>
        <row r="41">
          <cell r="C41">
            <v>79</v>
          </cell>
        </row>
        <row r="43">
          <cell r="C43">
            <v>0</v>
          </cell>
        </row>
      </sheetData>
      <sheetData sheetId="2">
        <row r="27">
          <cell r="C27">
            <v>4.07E-2</v>
          </cell>
        </row>
        <row r="28">
          <cell r="C28">
            <v>3</v>
          </cell>
        </row>
        <row r="34">
          <cell r="C34">
            <v>3.2294765996188657</v>
          </cell>
        </row>
        <row r="35">
          <cell r="C35">
            <v>0.12769213685859157</v>
          </cell>
        </row>
        <row r="37">
          <cell r="C37">
            <v>2013.6402308815277</v>
          </cell>
        </row>
        <row r="41">
          <cell r="A41">
            <v>0</v>
          </cell>
        </row>
        <row r="42">
          <cell r="A42">
            <v>1</v>
          </cell>
        </row>
        <row r="43">
          <cell r="A43">
            <v>2</v>
          </cell>
        </row>
        <row r="44">
          <cell r="A44">
            <v>3</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sheetData>
      <sheetData sheetId="3" refreshError="1"/>
      <sheetData sheetId="4">
        <row r="14">
          <cell r="M14">
            <v>42562</v>
          </cell>
        </row>
        <row r="17">
          <cell r="F17">
            <v>24414</v>
          </cell>
        </row>
        <row r="20">
          <cell r="E20">
            <v>0</v>
          </cell>
        </row>
        <row r="27">
          <cell r="E27">
            <v>3532.12</v>
          </cell>
        </row>
        <row r="33">
          <cell r="F33">
            <v>3533</v>
          </cell>
        </row>
        <row r="43">
          <cell r="B43">
            <v>24414</v>
          </cell>
          <cell r="D43">
            <v>1880</v>
          </cell>
        </row>
        <row r="45">
          <cell r="B45">
            <v>1</v>
          </cell>
        </row>
        <row r="46">
          <cell r="B46">
            <v>2</v>
          </cell>
        </row>
        <row r="47">
          <cell r="B47">
            <v>3</v>
          </cell>
        </row>
        <row r="48">
          <cell r="B48" t="str">
            <v/>
          </cell>
        </row>
        <row r="49">
          <cell r="B49" t="str">
            <v/>
          </cell>
        </row>
        <row r="50">
          <cell r="B50" t="str">
            <v/>
          </cell>
        </row>
        <row r="51">
          <cell r="B51" t="str">
            <v/>
          </cell>
        </row>
        <row r="52">
          <cell r="B52" t="str">
            <v/>
          </cell>
        </row>
        <row r="53">
          <cell r="B53" t="str">
            <v/>
          </cell>
        </row>
        <row r="54">
          <cell r="B54" t="str">
            <v/>
          </cell>
        </row>
        <row r="55">
          <cell r="B55" t="str">
            <v/>
          </cell>
        </row>
        <row r="56">
          <cell r="B56" t="str">
            <v/>
          </cell>
        </row>
        <row r="57">
          <cell r="B57" t="str">
            <v/>
          </cell>
        </row>
        <row r="58">
          <cell r="B58" t="str">
            <v/>
          </cell>
        </row>
        <row r="59">
          <cell r="B59" t="str">
            <v/>
          </cell>
        </row>
        <row r="60">
          <cell r="B60" t="str">
            <v/>
          </cell>
        </row>
        <row r="61">
          <cell r="B61" t="str">
            <v/>
          </cell>
        </row>
        <row r="62">
          <cell r="B62" t="str">
            <v/>
          </cell>
        </row>
        <row r="63">
          <cell r="B63" t="str">
            <v/>
          </cell>
        </row>
        <row r="64">
          <cell r="B64" t="str">
            <v/>
          </cell>
        </row>
        <row r="65">
          <cell r="B65" t="str">
            <v/>
          </cell>
        </row>
        <row r="66">
          <cell r="B66" t="str">
            <v/>
          </cell>
        </row>
        <row r="67">
          <cell r="B67" t="str">
            <v/>
          </cell>
        </row>
        <row r="68">
          <cell r="B68" t="str">
            <v/>
          </cell>
        </row>
        <row r="69">
          <cell r="B69" t="str">
            <v/>
          </cell>
        </row>
      </sheetData>
      <sheetData sheetId="5" refreshError="1"/>
      <sheetData sheetId="6" refreshError="1"/>
      <sheetData sheetId="7" refreshError="1"/>
      <sheetData sheetId="8">
        <row r="1">
          <cell r="A1" t="str">
            <v>ALICIA SAAVEDRA</v>
          </cell>
        </row>
        <row r="2">
          <cell r="A2" t="str">
            <v>CARMELITA DUMA</v>
          </cell>
        </row>
        <row r="3">
          <cell r="A3" t="str">
            <v>DELIA OLARTE</v>
          </cell>
        </row>
        <row r="4">
          <cell r="A4" t="str">
            <v>EDGAR LAGUITAN</v>
          </cell>
        </row>
        <row r="5">
          <cell r="A5" t="str">
            <v>ELISA LAGUITAN</v>
          </cell>
        </row>
        <row r="6">
          <cell r="A6" t="str">
            <v>EMELINDA PARAISO</v>
          </cell>
        </row>
        <row r="7">
          <cell r="A7" t="str">
            <v>ERMELITO NAPOLEON</v>
          </cell>
        </row>
        <row r="8">
          <cell r="A8" t="str">
            <v>EVANGELINE DETERA</v>
          </cell>
        </row>
        <row r="9">
          <cell r="A9" t="str">
            <v>FABIOLITA BASAY</v>
          </cell>
        </row>
        <row r="10">
          <cell r="A10" t="str">
            <v>FREDERICK MARCELO</v>
          </cell>
        </row>
        <row r="11">
          <cell r="A11" t="str">
            <v>GINA SERNAL</v>
          </cell>
        </row>
        <row r="12">
          <cell r="A12" t="str">
            <v>HERMINIA GARCIA</v>
          </cell>
        </row>
        <row r="13">
          <cell r="A13" t="str">
            <v>JAIME SIMBAHON</v>
          </cell>
        </row>
        <row r="14">
          <cell r="A14" t="str">
            <v>JOEMAREY PEÑARANDA</v>
          </cell>
        </row>
        <row r="15">
          <cell r="A15" t="str">
            <v>JOSEPHINE RIVERA</v>
          </cell>
        </row>
        <row r="16">
          <cell r="A16" t="str">
            <v>LINDA SEMBRANO</v>
          </cell>
        </row>
        <row r="17">
          <cell r="A17" t="str">
            <v>LUCILA SAAVEDRA</v>
          </cell>
        </row>
        <row r="18">
          <cell r="A18" t="str">
            <v>MARIA TERESA SAMPELIS</v>
          </cell>
        </row>
        <row r="19">
          <cell r="A19" t="str">
            <v>MARISSA VILLANUEVA</v>
          </cell>
        </row>
        <row r="20">
          <cell r="A20" t="str">
            <v>MARY ANN CRISOSTOMO</v>
          </cell>
        </row>
        <row r="21">
          <cell r="A21" t="str">
            <v>NOEL CARRANZA</v>
          </cell>
        </row>
        <row r="22">
          <cell r="A22" t="str">
            <v>REFERRED BY: RAYLY CINCO</v>
          </cell>
        </row>
        <row r="23">
          <cell r="A23" t="str">
            <v>RENANTE LIBRES</v>
          </cell>
        </row>
        <row r="24">
          <cell r="A24" t="str">
            <v>RICHARD FERRERAS</v>
          </cell>
        </row>
        <row r="25">
          <cell r="A25" t="str">
            <v>WALK IN</v>
          </cell>
        </row>
        <row r="26">
          <cell r="A26" t="str">
            <v>ROSANA LABIANO</v>
          </cell>
        </row>
        <row r="27">
          <cell r="A27" t="str">
            <v>DAVY DEE</v>
          </cell>
        </row>
        <row r="28">
          <cell r="A28" t="str">
            <v>LOURDES SAN PEDRO</v>
          </cell>
        </row>
        <row r="29">
          <cell r="A29" t="str">
            <v>ZENAIDA CABRIDO</v>
          </cell>
        </row>
      </sheetData>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
  <sheetViews>
    <sheetView showGridLines="0" showRowColHeaders="0" showOutlineSymbols="0" workbookViewId="0">
      <pane ySplit="32" topLeftCell="A63" activePane="bottomLeft" state="frozen"/>
      <selection pane="bottomLeft" activeCell="R21" sqref="R21"/>
    </sheetView>
  </sheetViews>
  <sheetFormatPr defaultRowHeight="12.75"/>
  <sheetData/>
  <sheetProtection sheet="1" objects="1" scenarios="1" formatCells="0" selectLockedCells="1"/>
  <phoneticPr fontId="3" type="noConversion"/>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2" r:id="rId4" name="Button 2">
              <controlPr defaultSize="0" print="0" autoFill="0" autoPict="0" macro="[0]!Button2_Click">
                <anchor moveWithCells="1" sizeWithCells="1">
                  <from>
                    <xdr:col>7</xdr:col>
                    <xdr:colOff>161925</xdr:colOff>
                    <xdr:row>3</xdr:row>
                    <xdr:rowOff>28575</xdr:rowOff>
                  </from>
                  <to>
                    <xdr:col>12</xdr:col>
                    <xdr:colOff>295275</xdr:colOff>
                    <xdr:row>6</xdr:row>
                    <xdr:rowOff>85725</xdr:rowOff>
                  </to>
                </anchor>
              </controlPr>
            </control>
          </mc:Choice>
        </mc:AlternateContent>
        <mc:AlternateContent xmlns:mc="http://schemas.openxmlformats.org/markup-compatibility/2006">
          <mc:Choice Requires="x14">
            <control shapeId="5123" r:id="rId5" name="Button 3">
              <controlPr defaultSize="0" print="0" autoFill="0" autoPict="0" macro="[0]!Button3_Click">
                <anchor moveWithCells="1" sizeWithCells="1">
                  <from>
                    <xdr:col>7</xdr:col>
                    <xdr:colOff>161925</xdr:colOff>
                    <xdr:row>7</xdr:row>
                    <xdr:rowOff>0</xdr:rowOff>
                  </from>
                  <to>
                    <xdr:col>12</xdr:col>
                    <xdr:colOff>295275</xdr:colOff>
                    <xdr:row>10</xdr:row>
                    <xdr:rowOff>57150</xdr:rowOff>
                  </to>
                </anchor>
              </controlPr>
            </control>
          </mc:Choice>
        </mc:AlternateContent>
        <mc:AlternateContent xmlns:mc="http://schemas.openxmlformats.org/markup-compatibility/2006">
          <mc:Choice Requires="x14">
            <control shapeId="5124" r:id="rId6" name="Button 4">
              <controlPr defaultSize="0" print="0" autoFill="0" autoPict="0" macro="[0]!Button4_Click">
                <anchor moveWithCells="1" sizeWithCells="1">
                  <from>
                    <xdr:col>7</xdr:col>
                    <xdr:colOff>171450</xdr:colOff>
                    <xdr:row>10</xdr:row>
                    <xdr:rowOff>142875</xdr:rowOff>
                  </from>
                  <to>
                    <xdr:col>12</xdr:col>
                    <xdr:colOff>304800</xdr:colOff>
                    <xdr:row>14</xdr:row>
                    <xdr:rowOff>38100</xdr:rowOff>
                  </to>
                </anchor>
              </controlPr>
            </control>
          </mc:Choice>
        </mc:AlternateContent>
        <mc:AlternateContent xmlns:mc="http://schemas.openxmlformats.org/markup-compatibility/2006">
          <mc:Choice Requires="x14">
            <control shapeId="5125" r:id="rId7" name="Button 5">
              <controlPr defaultSize="0" print="0" autoFill="0" autoPict="0" macro="[0]!Button5_Click">
                <anchor moveWithCells="1" sizeWithCells="1">
                  <from>
                    <xdr:col>7</xdr:col>
                    <xdr:colOff>171450</xdr:colOff>
                    <xdr:row>14</xdr:row>
                    <xdr:rowOff>95250</xdr:rowOff>
                  </from>
                  <to>
                    <xdr:col>12</xdr:col>
                    <xdr:colOff>304800</xdr:colOff>
                    <xdr:row>17</xdr:row>
                    <xdr:rowOff>152400</xdr:rowOff>
                  </to>
                </anchor>
              </controlPr>
            </control>
          </mc:Choice>
        </mc:AlternateContent>
        <mc:AlternateContent xmlns:mc="http://schemas.openxmlformats.org/markup-compatibility/2006">
          <mc:Choice Requires="x14">
            <control shapeId="5126" r:id="rId8" name="Button 6">
              <controlPr defaultSize="0" print="0" autoFill="0" autoPict="0" macro="[0]!Button6_Click">
                <anchor moveWithCells="1" sizeWithCells="1">
                  <from>
                    <xdr:col>7</xdr:col>
                    <xdr:colOff>161925</xdr:colOff>
                    <xdr:row>18</xdr:row>
                    <xdr:rowOff>76200</xdr:rowOff>
                  </from>
                  <to>
                    <xdr:col>12</xdr:col>
                    <xdr:colOff>295275</xdr:colOff>
                    <xdr:row>21</xdr:row>
                    <xdr:rowOff>133350</xdr:rowOff>
                  </to>
                </anchor>
              </controlPr>
            </control>
          </mc:Choice>
        </mc:AlternateContent>
        <mc:AlternateContent xmlns:mc="http://schemas.openxmlformats.org/markup-compatibility/2006">
          <mc:Choice Requires="x14">
            <control shapeId="5127" r:id="rId9" name="Button 7">
              <controlPr defaultSize="0" print="0" autoFill="0" autoPict="0" macro="[0]!Button7_Click">
                <anchor moveWithCells="1" sizeWithCells="1">
                  <from>
                    <xdr:col>7</xdr:col>
                    <xdr:colOff>161925</xdr:colOff>
                    <xdr:row>22</xdr:row>
                    <xdr:rowOff>47625</xdr:rowOff>
                  </from>
                  <to>
                    <xdr:col>12</xdr:col>
                    <xdr:colOff>295275</xdr:colOff>
                    <xdr:row>25</xdr:row>
                    <xdr:rowOff>104775</xdr:rowOff>
                  </to>
                </anchor>
              </controlPr>
            </control>
          </mc:Choice>
        </mc:AlternateContent>
        <mc:AlternateContent xmlns:mc="http://schemas.openxmlformats.org/markup-compatibility/2006">
          <mc:Choice Requires="x14">
            <control shapeId="5128" r:id="rId10" name="Button 8">
              <controlPr defaultSize="0" print="0" autoFill="0" autoPict="0" macro="[0]!envelop">
                <anchor moveWithCells="1" sizeWithCells="1">
                  <from>
                    <xdr:col>7</xdr:col>
                    <xdr:colOff>152400</xdr:colOff>
                    <xdr:row>26</xdr:row>
                    <xdr:rowOff>28575</xdr:rowOff>
                  </from>
                  <to>
                    <xdr:col>12</xdr:col>
                    <xdr:colOff>285750</xdr:colOff>
                    <xdr:row>29</xdr:row>
                    <xdr:rowOff>85725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00B050"/>
  </sheetPr>
  <dimension ref="B1:K48"/>
  <sheetViews>
    <sheetView showGridLines="0" topLeftCell="D38" zoomScale="130" zoomScaleNormal="130" workbookViewId="0">
      <selection activeCell="J12" sqref="J12"/>
    </sheetView>
  </sheetViews>
  <sheetFormatPr defaultRowHeight="12.75"/>
  <cols>
    <col min="1" max="1" width="3" style="230" customWidth="1"/>
    <col min="2" max="2" width="32.140625" style="230" customWidth="1"/>
    <col min="3" max="3" width="41" style="230" customWidth="1"/>
    <col min="4" max="4" width="3" style="230" customWidth="1"/>
    <col min="5" max="5" width="18.5703125" style="230" customWidth="1"/>
    <col min="6" max="6" width="27" style="230" bestFit="1" customWidth="1"/>
    <col min="7" max="7" width="2.140625" style="230" customWidth="1"/>
    <col min="8" max="8" width="1.7109375" style="230" customWidth="1"/>
    <col min="9" max="10" width="9.140625" style="230"/>
    <col min="11" max="11" width="18" style="230" bestFit="1" customWidth="1"/>
    <col min="12" max="16384" width="9.140625" style="230"/>
  </cols>
  <sheetData>
    <row r="1" spans="2:11" ht="13.5" thickBot="1"/>
    <row r="2" spans="2:11">
      <c r="B2" s="360" t="s">
        <v>168</v>
      </c>
      <c r="C2" s="361"/>
      <c r="D2" s="361"/>
      <c r="E2" s="361"/>
      <c r="F2" s="362"/>
      <c r="I2" s="351" t="s">
        <v>163</v>
      </c>
      <c r="J2" s="352"/>
      <c r="K2" s="353"/>
    </row>
    <row r="3" spans="2:11" ht="13.5" thickBot="1">
      <c r="B3" s="363"/>
      <c r="C3" s="364"/>
      <c r="D3" s="364"/>
      <c r="E3" s="364"/>
      <c r="F3" s="365"/>
      <c r="I3" s="354"/>
      <c r="J3" s="355"/>
      <c r="K3" s="356"/>
    </row>
    <row r="4" spans="2:11" ht="3.75" customHeight="1"/>
    <row r="5" spans="2:11" ht="6.75" customHeight="1">
      <c r="B5" s="276"/>
      <c r="C5" s="277"/>
      <c r="D5" s="277"/>
      <c r="E5" s="277"/>
      <c r="F5" s="278"/>
    </row>
    <row r="6" spans="2:11" ht="15">
      <c r="B6" s="275" t="s">
        <v>35</v>
      </c>
      <c r="C6" s="256" t="s">
        <v>212</v>
      </c>
      <c r="D6" s="252" t="s">
        <v>125</v>
      </c>
      <c r="E6" s="357" t="s">
        <v>212</v>
      </c>
      <c r="F6" s="358"/>
      <c r="I6" s="332" t="s">
        <v>37</v>
      </c>
      <c r="J6" s="333"/>
      <c r="K6" s="260">
        <v>43265</v>
      </c>
    </row>
    <row r="7" spans="2:11" ht="3" customHeight="1">
      <c r="B7" s="275"/>
      <c r="C7" s="232"/>
      <c r="D7" s="231"/>
      <c r="E7" s="366"/>
      <c r="F7" s="367"/>
      <c r="I7" s="331"/>
      <c r="J7" s="330"/>
      <c r="K7" s="263"/>
    </row>
    <row r="8" spans="2:11" ht="15">
      <c r="B8" s="275" t="s">
        <v>36</v>
      </c>
      <c r="C8" s="357" t="s">
        <v>212</v>
      </c>
      <c r="D8" s="359"/>
      <c r="E8" s="359"/>
      <c r="F8" s="358"/>
      <c r="I8" s="331" t="s">
        <v>170</v>
      </c>
      <c r="J8" s="330"/>
      <c r="K8" s="260">
        <v>43317</v>
      </c>
    </row>
    <row r="9" spans="2:11" ht="3" customHeight="1">
      <c r="B9" s="275"/>
      <c r="C9" s="232"/>
      <c r="D9" s="232"/>
      <c r="E9" s="232"/>
      <c r="F9" s="263"/>
      <c r="I9" s="331"/>
      <c r="J9" s="330"/>
      <c r="K9" s="263">
        <v>2</v>
      </c>
    </row>
    <row r="10" spans="2:11" ht="16.5">
      <c r="B10" s="271" t="s">
        <v>171</v>
      </c>
      <c r="C10" s="257">
        <v>80953.710000000006</v>
      </c>
      <c r="D10" s="232"/>
      <c r="E10" s="233" t="s">
        <v>62</v>
      </c>
      <c r="F10" s="265" t="s">
        <v>107</v>
      </c>
      <c r="I10" s="331" t="s">
        <v>66</v>
      </c>
      <c r="J10" s="330"/>
      <c r="K10" s="261">
        <v>12</v>
      </c>
    </row>
    <row r="11" spans="2:11" ht="3" customHeight="1">
      <c r="B11" s="275"/>
      <c r="C11" s="232"/>
      <c r="D11" s="232"/>
      <c r="E11" s="233"/>
      <c r="F11" s="263"/>
      <c r="I11" s="331"/>
      <c r="J11" s="330"/>
      <c r="K11" s="263">
        <v>6</v>
      </c>
    </row>
    <row r="12" spans="2:11" ht="15">
      <c r="B12" s="279" t="s">
        <v>57</v>
      </c>
      <c r="C12" s="257">
        <v>0</v>
      </c>
      <c r="D12" s="232"/>
      <c r="F12" s="264"/>
      <c r="I12" s="331" t="s">
        <v>67</v>
      </c>
      <c r="J12" s="330"/>
      <c r="K12" s="261">
        <v>12</v>
      </c>
    </row>
    <row r="13" spans="2:11" ht="3" customHeight="1">
      <c r="B13" s="280"/>
      <c r="C13" s="232"/>
      <c r="D13" s="232"/>
      <c r="E13" s="233"/>
      <c r="F13" s="263"/>
      <c r="I13" s="331"/>
      <c r="J13" s="330"/>
      <c r="K13" s="263"/>
    </row>
    <row r="14" spans="2:11" ht="15">
      <c r="B14" s="275" t="s">
        <v>38</v>
      </c>
      <c r="C14" s="258" t="s">
        <v>211</v>
      </c>
      <c r="D14" s="232"/>
      <c r="E14" s="233" t="s">
        <v>44</v>
      </c>
      <c r="F14" s="261"/>
      <c r="I14" s="334" t="s">
        <v>96</v>
      </c>
      <c r="J14" s="335"/>
      <c r="K14" s="262">
        <v>43651</v>
      </c>
    </row>
    <row r="15" spans="2:11" ht="3" customHeight="1">
      <c r="B15" s="275"/>
      <c r="C15" s="232"/>
      <c r="D15" s="232"/>
      <c r="E15" s="233"/>
      <c r="F15" s="263"/>
      <c r="J15" s="330"/>
    </row>
    <row r="16" spans="2:11" ht="15">
      <c r="B16" s="275" t="s">
        <v>49</v>
      </c>
      <c r="C16" s="258" t="s">
        <v>52</v>
      </c>
      <c r="D16" s="232"/>
      <c r="E16" s="233" t="s">
        <v>61</v>
      </c>
      <c r="F16" s="259"/>
      <c r="I16" s="334" t="s">
        <v>100</v>
      </c>
      <c r="J16" s="335"/>
      <c r="K16" s="258" t="s">
        <v>151</v>
      </c>
    </row>
    <row r="17" spans="2:11" ht="3" customHeight="1">
      <c r="B17" s="275"/>
      <c r="C17" s="232"/>
      <c r="D17" s="232"/>
      <c r="E17" s="233"/>
      <c r="F17" s="263"/>
    </row>
    <row r="18" spans="2:11" ht="15">
      <c r="B18" s="275" t="s">
        <v>106</v>
      </c>
      <c r="C18" s="258" t="s">
        <v>199</v>
      </c>
      <c r="D18" s="232"/>
      <c r="E18" s="233" t="s">
        <v>207</v>
      </c>
      <c r="F18" s="261"/>
    </row>
    <row r="19" spans="2:11" ht="2.25" customHeight="1">
      <c r="B19" s="275"/>
      <c r="C19" s="234"/>
      <c r="D19" s="232"/>
      <c r="E19" s="233"/>
      <c r="F19" s="267"/>
    </row>
    <row r="20" spans="2:11" ht="15">
      <c r="B20" s="275" t="s">
        <v>100</v>
      </c>
      <c r="C20" s="258" t="s">
        <v>151</v>
      </c>
      <c r="D20" s="236"/>
      <c r="E20" s="233"/>
      <c r="F20" s="267"/>
      <c r="I20" s="351" t="s">
        <v>208</v>
      </c>
      <c r="J20" s="352"/>
      <c r="K20" s="353"/>
    </row>
    <row r="21" spans="2:11" ht="3" customHeight="1">
      <c r="B21" s="275"/>
      <c r="C21" s="232"/>
      <c r="D21" s="232"/>
      <c r="E21" s="233"/>
      <c r="F21" s="263"/>
      <c r="I21" s="354"/>
      <c r="J21" s="355"/>
      <c r="K21" s="356"/>
    </row>
    <row r="22" spans="2:11" ht="15">
      <c r="B22" s="275" t="s">
        <v>149</v>
      </c>
      <c r="C22" s="266">
        <v>0</v>
      </c>
      <c r="D22" s="232"/>
      <c r="F22" s="264"/>
      <c r="I22" s="345" t="s">
        <v>209</v>
      </c>
      <c r="K22" s="347" t="s">
        <v>52</v>
      </c>
    </row>
    <row r="23" spans="2:11" ht="3" customHeight="1">
      <c r="B23" s="275"/>
      <c r="C23" s="232"/>
      <c r="D23" s="235"/>
      <c r="F23" s="264"/>
      <c r="I23" s="345"/>
    </row>
    <row r="24" spans="2:11" ht="15">
      <c r="B24" s="275" t="s">
        <v>169</v>
      </c>
      <c r="C24" s="259">
        <v>0.03</v>
      </c>
      <c r="D24" s="235"/>
      <c r="F24" s="264"/>
      <c r="J24" s="345" t="s">
        <v>210</v>
      </c>
      <c r="K24" s="346">
        <v>9473.68</v>
      </c>
    </row>
    <row r="25" spans="2:11" ht="3" customHeight="1">
      <c r="B25" s="275"/>
      <c r="C25" s="232"/>
      <c r="D25" s="235"/>
      <c r="F25" s="264"/>
    </row>
    <row r="26" spans="2:11" ht="15">
      <c r="B26" s="275" t="s">
        <v>39</v>
      </c>
      <c r="C26" s="259">
        <v>7.4999999999999997E-2</v>
      </c>
      <c r="D26" s="235"/>
      <c r="F26" s="264"/>
    </row>
    <row r="27" spans="2:11" ht="3" customHeight="1">
      <c r="B27" s="275"/>
      <c r="C27" s="232"/>
      <c r="D27" s="235"/>
      <c r="F27" s="264"/>
    </row>
    <row r="28" spans="2:11" ht="15">
      <c r="B28" s="275" t="s">
        <v>37</v>
      </c>
      <c r="C28" s="262">
        <v>46083</v>
      </c>
      <c r="D28" s="235"/>
      <c r="E28" s="340">
        <f>C36</f>
        <v>46342</v>
      </c>
      <c r="F28" s="340">
        <f>C36</f>
        <v>46342</v>
      </c>
    </row>
    <row r="29" spans="2:11" ht="3" customHeight="1">
      <c r="B29" s="275"/>
      <c r="C29" s="232"/>
      <c r="D29" s="235"/>
      <c r="E29" s="232"/>
      <c r="F29" s="263"/>
    </row>
    <row r="30" spans="2:11" ht="15">
      <c r="B30" s="275" t="s">
        <v>170</v>
      </c>
      <c r="C30" s="262">
        <v>46128</v>
      </c>
      <c r="D30" s="237"/>
      <c r="E30" s="340">
        <v>46342</v>
      </c>
      <c r="F30" s="340">
        <v>46342</v>
      </c>
    </row>
    <row r="31" spans="2:11" ht="3" customHeight="1">
      <c r="B31" s="275"/>
      <c r="C31" s="232"/>
      <c r="D31" s="235"/>
      <c r="E31" s="235"/>
      <c r="F31" s="268"/>
    </row>
    <row r="32" spans="2:11" ht="15">
      <c r="B32" s="275" t="s">
        <v>66</v>
      </c>
      <c r="C32" s="261">
        <v>8</v>
      </c>
      <c r="D32" s="235"/>
      <c r="F32" s="264"/>
    </row>
    <row r="33" spans="2:7" ht="3" customHeight="1">
      <c r="B33" s="275"/>
      <c r="C33" s="232"/>
      <c r="D33" s="232"/>
      <c r="F33" s="264"/>
    </row>
    <row r="34" spans="2:7" ht="15">
      <c r="B34" s="275" t="s">
        <v>67</v>
      </c>
      <c r="C34" s="261">
        <v>8</v>
      </c>
      <c r="D34" s="232"/>
      <c r="E34" s="233" t="s">
        <v>63</v>
      </c>
      <c r="F34" s="261"/>
      <c r="G34" s="255" t="str">
        <f>IF($C$20="Semi-Monthly","&lt;= INPUT MATURITY DATE HERE","")</f>
        <v/>
      </c>
    </row>
    <row r="35" spans="2:7" ht="4.5" customHeight="1">
      <c r="B35" s="275"/>
      <c r="C35" s="232"/>
      <c r="D35" s="232"/>
      <c r="E35" s="232"/>
      <c r="F35" s="263"/>
    </row>
    <row r="36" spans="2:7" ht="15">
      <c r="B36" s="275" t="s">
        <v>96</v>
      </c>
      <c r="C36" s="262">
        <v>46342</v>
      </c>
      <c r="D36" s="238"/>
      <c r="E36" s="233" t="s">
        <v>64</v>
      </c>
      <c r="F36" s="261"/>
    </row>
    <row r="37" spans="2:7" ht="3" customHeight="1">
      <c r="B37" s="275"/>
      <c r="C37" s="232"/>
      <c r="D37" s="238"/>
      <c r="E37" s="236"/>
      <c r="F37" s="269"/>
    </row>
    <row r="38" spans="2:7" ht="15">
      <c r="B38" s="275" t="s">
        <v>40</v>
      </c>
      <c r="C38" s="274">
        <v>500</v>
      </c>
      <c r="D38" s="232"/>
      <c r="E38" s="233" t="s">
        <v>142</v>
      </c>
      <c r="F38" s="261"/>
    </row>
    <row r="39" spans="2:7" ht="3" customHeight="1">
      <c r="B39" s="275"/>
      <c r="C39" s="232"/>
      <c r="D39" s="232"/>
      <c r="E39" s="236"/>
      <c r="F39" s="269"/>
    </row>
    <row r="40" spans="2:7" ht="15">
      <c r="B40" s="275" t="s">
        <v>58</v>
      </c>
      <c r="C40" s="350" t="s">
        <v>213</v>
      </c>
      <c r="D40" s="232"/>
      <c r="E40" s="233" t="s">
        <v>101</v>
      </c>
      <c r="F40" s="261"/>
    </row>
    <row r="41" spans="2:7" ht="3" customHeight="1">
      <c r="B41" s="275"/>
      <c r="C41" s="232"/>
      <c r="D41" s="232"/>
      <c r="E41" s="232"/>
      <c r="F41" s="269"/>
    </row>
    <row r="42" spans="2:7" ht="15">
      <c r="B42" s="275" t="s">
        <v>153</v>
      </c>
      <c r="C42" s="350" t="s">
        <v>213</v>
      </c>
      <c r="D42" s="232"/>
      <c r="E42" s="233" t="s">
        <v>100</v>
      </c>
      <c r="F42" s="261"/>
    </row>
    <row r="43" spans="2:7" ht="3" customHeight="1">
      <c r="B43" s="275"/>
      <c r="C43" s="232"/>
      <c r="D43" s="232"/>
      <c r="E43" s="232"/>
      <c r="F43" s="263"/>
    </row>
    <row r="44" spans="2:7" ht="15">
      <c r="B44" s="275" t="s">
        <v>65</v>
      </c>
      <c r="C44" s="274">
        <v>500</v>
      </c>
      <c r="D44" s="232"/>
      <c r="E44" s="232"/>
      <c r="F44" s="281"/>
    </row>
    <row r="45" spans="2:7" ht="15">
      <c r="B45" s="275" t="s">
        <v>214</v>
      </c>
      <c r="C45" s="274">
        <v>500</v>
      </c>
      <c r="D45" s="232"/>
      <c r="E45" s="232"/>
      <c r="F45" s="281"/>
    </row>
    <row r="46" spans="2:7" ht="5.25" customHeight="1">
      <c r="B46" s="282"/>
      <c r="C46" s="283"/>
      <c r="D46" s="283"/>
      <c r="E46" s="283"/>
      <c r="F46" s="284"/>
    </row>
    <row r="47" spans="2:7">
      <c r="B47" s="239"/>
    </row>
    <row r="48" spans="2:7">
      <c r="B48" s="239"/>
    </row>
  </sheetData>
  <sheetProtection selectLockedCells="1" autoFilter="0"/>
  <mergeCells count="6">
    <mergeCell ref="I20:K21"/>
    <mergeCell ref="E6:F6"/>
    <mergeCell ref="C8:F8"/>
    <mergeCell ref="B2:F3"/>
    <mergeCell ref="E7:F7"/>
    <mergeCell ref="I2:K3"/>
  </mergeCells>
  <phoneticPr fontId="3" type="noConversion"/>
  <dataValidations disablePrompts="1" xWindow="1049" yWindow="432" count="6">
    <dataValidation type="list" allowBlank="1" showInputMessage="1" showErrorMessage="1" promptTitle="TYPE OF LOAN" prompt="SML_x000a_SMEL_x000a_AL_x000a_BL-R_x000a_BL-SA_x000a_QCL_x000a_SL_x000a_OFW_x000a_ PL_x000a_APL_x000a_DL_x000a_PNL- Pension Loan" sqref="C14" xr:uid="{00000000-0002-0000-0100-000000000000}">
      <formula1>"Car Loan,MCL,REL,SML,SMEL,AL,BL-R,BL-SA,QCL,SL,OFW, PL,APL,DL"</formula1>
    </dataValidation>
    <dataValidation type="list" allowBlank="1" showInputMessage="1" showErrorMessage="1" promptTitle="Express" prompt="-Yes_x000a_-No" sqref="C16" xr:uid="{00000000-0002-0000-0100-000001000000}">
      <formula1>"YES, NO"</formula1>
    </dataValidation>
    <dataValidation type="list" allowBlank="1" showInputMessage="1" showErrorMessage="1" prompt="Select from List of Agents" sqref="F14" xr:uid="{00000000-0002-0000-0100-000002000000}">
      <formula1>Agent</formula1>
    </dataValidation>
    <dataValidation type="list" allowBlank="1" showInputMessage="1" showErrorMessage="1" promptTitle="Select Installment Type" prompt="-Monthly_x000a_-Semi-Monthly" sqref="C20 K16" xr:uid="{00000000-0002-0000-0100-000003000000}">
      <formula1>"Monthly,Semi-Monthly"</formula1>
    </dataValidation>
    <dataValidation type="list" allowBlank="1" showInputMessage="1" showErrorMessage="1" sqref="C18" xr:uid="{00000000-0002-0000-0100-000004000000}">
      <formula1>"Yes,No"</formula1>
    </dataValidation>
    <dataValidation type="list" allowBlank="1" showInputMessage="1" showErrorMessage="1" sqref="K22" xr:uid="{00000000-0002-0000-0100-000005000000}">
      <formula1>"YES,NO"</formula1>
    </dataValidation>
  </dataValidations>
  <pageMargins left="0.75" right="0.75" top="1" bottom="1" header="0.5" footer="0.5"/>
  <pageSetup paperSize="9" scale="90" orientation="landscape" horizontalDpi="120" verticalDpi="7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7030A0"/>
  </sheetPr>
  <dimension ref="A2:Q390"/>
  <sheetViews>
    <sheetView showGridLines="0" topLeftCell="A35" zoomScaleNormal="100" workbookViewId="0">
      <selection activeCell="E42" sqref="E42"/>
    </sheetView>
  </sheetViews>
  <sheetFormatPr defaultRowHeight="15"/>
  <cols>
    <col min="1" max="1" width="18.85546875" style="108" bestFit="1" customWidth="1"/>
    <col min="2" max="2" width="18.140625" style="108" customWidth="1"/>
    <col min="3" max="3" width="15" style="108" customWidth="1"/>
    <col min="4" max="4" width="16" style="108" customWidth="1"/>
    <col min="5" max="5" width="14.28515625" style="108" customWidth="1"/>
    <col min="6" max="6" width="15.7109375" style="108" customWidth="1"/>
    <col min="7" max="7" width="14.5703125" style="108" bestFit="1" customWidth="1"/>
    <col min="8" max="8" width="12.7109375" style="108" customWidth="1"/>
    <col min="9" max="10" width="9.140625" style="108"/>
    <col min="11" max="11" width="27" style="108" bestFit="1" customWidth="1"/>
    <col min="12" max="12" width="12.28515625" style="108" customWidth="1"/>
    <col min="13" max="13" width="10.140625" style="108" bestFit="1" customWidth="1"/>
    <col min="14" max="14" width="9.42578125" style="108" bestFit="1" customWidth="1"/>
    <col min="15" max="16384" width="9.140625" style="108"/>
  </cols>
  <sheetData>
    <row r="2" spans="1:14" ht="45" customHeight="1"/>
    <row r="3" spans="1:14" ht="18" customHeight="1" thickBot="1">
      <c r="A3" s="396" t="s">
        <v>6</v>
      </c>
      <c r="B3" s="396"/>
      <c r="C3" s="396"/>
      <c r="D3" s="396"/>
      <c r="E3" s="396"/>
      <c r="F3" s="396"/>
      <c r="G3" s="396"/>
      <c r="H3" s="396"/>
      <c r="M3" s="182">
        <v>42632</v>
      </c>
    </row>
    <row r="4" spans="1:14" ht="24.75" customHeight="1">
      <c r="A4" s="195"/>
      <c r="B4" s="175"/>
      <c r="E4" s="174" t="s">
        <v>56</v>
      </c>
      <c r="F4" s="176">
        <f>Date_Released</f>
        <v>46083</v>
      </c>
      <c r="G4" s="178" t="s">
        <v>4</v>
      </c>
      <c r="H4" s="196">
        <f>MaturityDate_data_input</f>
        <v>46342</v>
      </c>
      <c r="M4" s="182">
        <v>42643</v>
      </c>
    </row>
    <row r="5" spans="1:14" ht="24.75" customHeight="1">
      <c r="A5" s="222" t="s">
        <v>41</v>
      </c>
      <c r="D5" s="218">
        <f>Loan_Amount</f>
        <v>80953.710000000006</v>
      </c>
      <c r="E5" s="174" t="s">
        <v>136</v>
      </c>
      <c r="F5" s="216">
        <f>Term_masterdatainput</f>
        <v>8</v>
      </c>
      <c r="G5" s="215" t="s">
        <v>137</v>
      </c>
      <c r="H5" s="169">
        <f>Monthly_Inst</f>
        <v>8</v>
      </c>
      <c r="M5" s="108">
        <f>DATEDIF(M3,M4,"d")</f>
        <v>11</v>
      </c>
    </row>
    <row r="6" spans="1:14" ht="5.25" customHeight="1">
      <c r="D6" s="219"/>
      <c r="E6" s="146"/>
      <c r="F6" s="137"/>
    </row>
    <row r="7" spans="1:14" ht="16.5" customHeight="1">
      <c r="A7" s="177" t="s">
        <v>126</v>
      </c>
      <c r="D7" s="145"/>
      <c r="E7" s="137" t="s">
        <v>106</v>
      </c>
      <c r="G7" s="141" t="str">
        <f>Renewal</f>
        <v>No</v>
      </c>
      <c r="K7" s="154"/>
    </row>
    <row r="8" spans="1:14" ht="16.5" customHeight="1">
      <c r="A8" s="108" t="s">
        <v>127</v>
      </c>
      <c r="B8" s="150"/>
      <c r="D8" s="145"/>
      <c r="E8" s="137" t="s">
        <v>14</v>
      </c>
      <c r="G8" s="139">
        <f>'Master data Input'!F18</f>
        <v>0</v>
      </c>
      <c r="I8" s="153"/>
      <c r="K8" s="154">
        <f>IF(Type_of_Loan="BL-SA",ROUND(Principal_Amount*(((Total_InterestRate/Loan_Amount)/Monthly_Inst)/30)*DATEDIF(Date_Released,MaturityDate_data_input,"d"),0),ROUND(Principal_Amount*(((Total_InterestRate/Loan_Amount)/Monthly_Inst)/30)*DATEDIF(Date_Released,Date_released2,"d"),0))</f>
        <v>0</v>
      </c>
      <c r="L8" s="137" t="s">
        <v>132</v>
      </c>
      <c r="N8" s="152" t="str">
        <f>ROUND(((((Total_InterestRate/Principal_Amount)/Monthly_Inst)*100)),2)&amp; "% from"&amp;TEXT(Date_Released," mm/dd/yyyy")&amp;" to "&amp;TEXT(Date_released2," mm/dd/yyyy")</f>
        <v>2.17% from 03/02/2026 to  03/02/2026</v>
      </c>
    </row>
    <row r="9" spans="1:14" ht="16.5" customHeight="1">
      <c r="A9" s="152" t="str">
        <f>(ROUND(Interest,4)*100&amp;"% from"&amp;TEXT(Date_Released," mm/dd/yyyy")&amp;" to "&amp;TEXT('Monthly -client copy'!Date_released2," mm/dd/yyyy"))</f>
        <v>3% from 03/02/2026 to  03/17/2026</v>
      </c>
      <c r="B9" s="150"/>
      <c r="C9" s="146">
        <f>IF(upfront="YES",'Master data Input'!K24,IF(Type_of_Loan="BL-SA",0,ROUND(Loan_Amount*(Interest/30)*DATEDIF(Date_Released,'Monthly -client copy'!Date_released2,"d"),2)))</f>
        <v>1214.31</v>
      </c>
      <c r="D9" s="145"/>
      <c r="E9" s="137"/>
      <c r="G9" s="139"/>
      <c r="K9" s="155">
        <f>IF(Type_of_Loan="BL-SA",ROUND(Principal_Amount*(Interest/30)*DATEDIF(Date_Released,MaturityDate_data_input,"d"),0),ROUND(Principal_Amount*(Interest/30)*DATEDIF(Date_Released,Date_released2,"d"),0))</f>
        <v>0</v>
      </c>
      <c r="L9" s="137" t="s">
        <v>133</v>
      </c>
      <c r="N9" s="152" t="str">
        <f>(Interest*100) &amp; "% from"&amp;TEXT(Date_Released," mm/dd/yyyy")&amp;" to "&amp;TEXT(Date_released2," mm/dd/yyyy")</f>
        <v>3% from 03/02/2026 to  03/02/2026</v>
      </c>
    </row>
    <row r="10" spans="1:14" ht="16.5" customHeight="1">
      <c r="A10" s="137" t="s">
        <v>98</v>
      </c>
      <c r="B10" s="180">
        <f>Processing_Fee_in_Percentage</f>
        <v>7.4999999999999997E-2</v>
      </c>
      <c r="C10" s="138">
        <f>D5*B10</f>
        <v>6071.5282500000003</v>
      </c>
      <c r="D10" s="145"/>
      <c r="E10" s="137" t="s">
        <v>95</v>
      </c>
      <c r="G10" s="140" t="str">
        <f>Installment_Type</f>
        <v>Monthly</v>
      </c>
      <c r="K10" s="114"/>
    </row>
    <row r="11" spans="1:14" ht="16.5" customHeight="1">
      <c r="A11" s="137" t="s">
        <v>50</v>
      </c>
      <c r="C11" s="138">
        <v>0</v>
      </c>
      <c r="D11" s="145"/>
      <c r="E11" s="137" t="s">
        <v>130</v>
      </c>
      <c r="G11" s="140" t="str">
        <f>PN_no.</f>
        <v>.</v>
      </c>
    </row>
    <row r="12" spans="1:14" ht="16.5" customHeight="1">
      <c r="A12" s="137" t="s">
        <v>65</v>
      </c>
      <c r="C12" s="138">
        <f>Docfee_Yes_or_No</f>
        <v>500</v>
      </c>
      <c r="D12" s="145"/>
    </row>
    <row r="13" spans="1:14" ht="16.5" customHeight="1">
      <c r="A13" s="137" t="s">
        <v>40</v>
      </c>
      <c r="C13" s="138">
        <f>Notarial_Fee</f>
        <v>500</v>
      </c>
      <c r="D13" s="145"/>
      <c r="E13" s="137" t="s">
        <v>102</v>
      </c>
      <c r="K13" s="154">
        <f>Total_UII</f>
        <v>14049.306316385209</v>
      </c>
      <c r="L13" s="151">
        <f>Interest</f>
        <v>0.03</v>
      </c>
      <c r="M13" s="108" t="s">
        <v>144</v>
      </c>
    </row>
    <row r="14" spans="1:14" ht="16.5" customHeight="1">
      <c r="A14" s="108" t="str">
        <f>'Master data Input'!B42</f>
        <v>MLRI -Insurance</v>
      </c>
      <c r="C14" s="138">
        <v>0</v>
      </c>
      <c r="D14" s="145"/>
      <c r="G14" s="128">
        <f>'Master data Input'!F42</f>
        <v>0</v>
      </c>
      <c r="K14" s="155">
        <f>Total_InterestRate</f>
        <v>14049.306316385209</v>
      </c>
      <c r="L14" s="151">
        <f>((((Total_InterestRate/C26)/Monthly_Inst)))</f>
        <v>2.1693425657059461E-2</v>
      </c>
      <c r="M14" s="137" t="s">
        <v>135</v>
      </c>
    </row>
    <row r="15" spans="1:14" ht="16.5" customHeight="1">
      <c r="A15" s="108" t="str">
        <f>Cash_Advance</f>
        <v>Cash Advance</v>
      </c>
      <c r="C15" s="138">
        <f>Advanced_Payment</f>
        <v>0</v>
      </c>
      <c r="D15" s="145"/>
      <c r="G15" s="128"/>
      <c r="K15" s="226"/>
      <c r="L15" s="151"/>
      <c r="M15" s="137"/>
    </row>
    <row r="16" spans="1:14" ht="16.5" customHeight="1">
      <c r="A16" s="108" t="str">
        <f>'Master data Input'!B45</f>
        <v>Miscellaneous</v>
      </c>
      <c r="C16" s="138">
        <f>'Master data Input'!C45</f>
        <v>500</v>
      </c>
      <c r="D16" s="145"/>
      <c r="E16" s="137" t="s">
        <v>141</v>
      </c>
      <c r="G16" s="139">
        <f>'Master data Input'!F38</f>
        <v>0</v>
      </c>
      <c r="K16" s="251">
        <f>K13-K14</f>
        <v>0</v>
      </c>
      <c r="L16" s="137" t="s">
        <v>134</v>
      </c>
    </row>
    <row r="17" spans="1:13" ht="16.5" customHeight="1" thickBot="1">
      <c r="A17" s="137" t="s">
        <v>128</v>
      </c>
      <c r="C17" s="138">
        <f>Outstanding_Balance_from_previous_loan</f>
        <v>0</v>
      </c>
      <c r="D17" s="220"/>
    </row>
    <row r="18" spans="1:13" ht="16.5" customHeight="1" thickBot="1">
      <c r="A18" s="137" t="s">
        <v>129</v>
      </c>
      <c r="D18" s="221">
        <f>SUM(C9:C17)</f>
        <v>8785.8382500000007</v>
      </c>
      <c r="E18" s="137" t="s">
        <v>131</v>
      </c>
      <c r="G18" s="182">
        <f>Date_Released</f>
        <v>46083</v>
      </c>
    </row>
    <row r="19" spans="1:13" ht="16.5" customHeight="1" thickTop="1">
      <c r="A19" s="222" t="s">
        <v>12</v>
      </c>
      <c r="D19" s="217">
        <f>D5-D18</f>
        <v>72167.871750000006</v>
      </c>
      <c r="E19" s="111" t="s">
        <v>54</v>
      </c>
      <c r="F19" s="398">
        <f>Agents</f>
        <v>0</v>
      </c>
      <c r="G19" s="398"/>
      <c r="H19" s="398"/>
    </row>
    <row r="20" spans="1:13" ht="15" customHeight="1" thickBot="1">
      <c r="A20" s="197"/>
      <c r="B20" s="197"/>
      <c r="C20" s="197"/>
      <c r="D20" s="197"/>
      <c r="E20" s="197"/>
      <c r="F20" s="197"/>
      <c r="G20" s="197"/>
      <c r="H20" s="197"/>
      <c r="L20" s="182"/>
    </row>
    <row r="21" spans="1:13" ht="4.5" customHeight="1">
      <c r="A21"/>
      <c r="B21"/>
      <c r="C21"/>
      <c r="D21" s="170"/>
      <c r="E21" s="170"/>
      <c r="F21" s="171"/>
      <c r="G21" s="170"/>
      <c r="H21" s="170"/>
    </row>
    <row r="22" spans="1:13" ht="15.75" thickBot="1">
      <c r="D22" s="172" t="s">
        <v>60</v>
      </c>
      <c r="E22" s="122"/>
      <c r="F22" s="122"/>
      <c r="G22" s="122"/>
      <c r="H22" s="144"/>
      <c r="K22" s="240" t="s">
        <v>155</v>
      </c>
      <c r="L22" s="241"/>
      <c r="M22" s="241"/>
    </row>
    <row r="23" spans="1:13" ht="16.5" customHeight="1" thickTop="1" thickBot="1">
      <c r="A23" s="394" t="s">
        <v>108</v>
      </c>
      <c r="B23" s="395"/>
      <c r="D23" s="369" t="str">
        <f>IF(OR_NAME&lt;&gt;"",Client_Name &amp;" or " &amp; OR_NAME,Client_Name)</f>
        <v>** or **</v>
      </c>
      <c r="E23" s="370"/>
      <c r="F23" s="370"/>
      <c r="G23" s="370"/>
      <c r="H23" s="371"/>
      <c r="K23" s="242" t="s">
        <v>156</v>
      </c>
      <c r="L23" s="242" t="s">
        <v>157</v>
      </c>
      <c r="M23" s="242" t="s">
        <v>158</v>
      </c>
    </row>
    <row r="24" spans="1:13" ht="15.75" thickTop="1">
      <c r="D24" s="372"/>
      <c r="E24" s="373"/>
      <c r="F24" s="373"/>
      <c r="G24" s="373"/>
      <c r="H24" s="374"/>
      <c r="K24" s="243" t="s">
        <v>159</v>
      </c>
      <c r="L24" s="244">
        <v>1</v>
      </c>
      <c r="M24" s="244">
        <v>12</v>
      </c>
    </row>
    <row r="25" spans="1:13">
      <c r="A25" s="393" t="s">
        <v>109</v>
      </c>
      <c r="B25" s="393"/>
      <c r="C25" s="156" t="str">
        <f>Type_of_Loan</f>
        <v>SML</v>
      </c>
      <c r="D25" s="109"/>
      <c r="E25" s="110"/>
      <c r="F25" s="110"/>
      <c r="G25" s="142"/>
      <c r="H25" s="145"/>
      <c r="K25" s="243" t="s">
        <v>160</v>
      </c>
      <c r="L25" s="244">
        <v>2</v>
      </c>
      <c r="M25" s="244">
        <v>6</v>
      </c>
    </row>
    <row r="26" spans="1:13">
      <c r="A26" s="393" t="s">
        <v>110</v>
      </c>
      <c r="B26" s="393"/>
      <c r="C26" s="157">
        <f>D5</f>
        <v>80953.710000000006</v>
      </c>
      <c r="D26" s="109" t="s">
        <v>36</v>
      </c>
      <c r="G26" s="143"/>
      <c r="H26" s="145"/>
      <c r="K26" s="243" t="s">
        <v>161</v>
      </c>
      <c r="L26" s="244">
        <v>4</v>
      </c>
      <c r="M26" s="244">
        <v>3</v>
      </c>
    </row>
    <row r="27" spans="1:13" ht="15" customHeight="1">
      <c r="A27" s="393" t="s">
        <v>111</v>
      </c>
      <c r="B27" s="393"/>
      <c r="C27" s="179">
        <v>3.6999999999999998E-2</v>
      </c>
      <c r="D27" s="375" t="str">
        <f>Address</f>
        <v>**</v>
      </c>
      <c r="E27" s="376"/>
      <c r="F27" s="376"/>
      <c r="G27" s="376"/>
      <c r="H27" s="377"/>
      <c r="K27" s="243" t="s">
        <v>162</v>
      </c>
      <c r="L27" s="244">
        <v>6</v>
      </c>
      <c r="M27" s="244">
        <v>2</v>
      </c>
    </row>
    <row r="28" spans="1:13">
      <c r="A28" s="393" t="s">
        <v>112</v>
      </c>
      <c r="B28" s="393"/>
      <c r="C28" s="158">
        <f>Number_of_Amortization</f>
        <v>8</v>
      </c>
      <c r="D28" s="378"/>
      <c r="E28" s="379"/>
      <c r="F28" s="379"/>
      <c r="G28" s="379"/>
      <c r="H28" s="380"/>
      <c r="K28" s="243" t="s">
        <v>151</v>
      </c>
      <c r="L28" s="244">
        <v>12</v>
      </c>
      <c r="M28" s="244">
        <v>1</v>
      </c>
    </row>
    <row r="29" spans="1:13">
      <c r="A29" s="393" t="s">
        <v>113</v>
      </c>
      <c r="B29" s="393"/>
      <c r="C29" s="157">
        <f>PMT(C$27,C28,-C26)*-1</f>
        <v>-11875.37703954815</v>
      </c>
      <c r="D29" s="378"/>
      <c r="E29" s="379"/>
      <c r="F29" s="379"/>
      <c r="G29" s="379"/>
      <c r="H29" s="380"/>
      <c r="K29" s="243" t="s">
        <v>163</v>
      </c>
      <c r="L29" s="244">
        <v>24</v>
      </c>
      <c r="M29" s="244">
        <v>0.5</v>
      </c>
    </row>
    <row r="30" spans="1:13">
      <c r="A30" s="393" t="s">
        <v>114</v>
      </c>
      <c r="B30" s="393"/>
      <c r="C30" s="157">
        <f>D18</f>
        <v>8785.8382500000007</v>
      </c>
      <c r="D30" s="381"/>
      <c r="E30" s="382"/>
      <c r="F30" s="382"/>
      <c r="G30" s="382"/>
      <c r="H30" s="383"/>
      <c r="K30" s="243" t="s">
        <v>164</v>
      </c>
      <c r="L30" s="244">
        <v>26</v>
      </c>
      <c r="M30" s="243" t="s">
        <v>165</v>
      </c>
    </row>
    <row r="31" spans="1:13" ht="15.75" thickBot="1">
      <c r="A31" s="137"/>
      <c r="B31" s="137"/>
      <c r="C31" s="137"/>
      <c r="D31" s="109"/>
      <c r="G31" s="117"/>
      <c r="H31" s="145"/>
      <c r="K31" s="243" t="s">
        <v>166</v>
      </c>
      <c r="L31" s="244">
        <v>52</v>
      </c>
      <c r="M31" s="243" t="s">
        <v>165</v>
      </c>
    </row>
    <row r="32" spans="1:13" ht="16.5" thickTop="1" thickBot="1">
      <c r="A32" s="397" t="s">
        <v>115</v>
      </c>
      <c r="B32" s="397"/>
      <c r="C32" s="137"/>
      <c r="D32" s="111" t="s">
        <v>105</v>
      </c>
      <c r="G32" s="117"/>
      <c r="H32" s="145"/>
      <c r="K32" s="245" t="s">
        <v>167</v>
      </c>
      <c r="L32" s="246">
        <f>INDEX(L24:L31,MATCH(Installment_Type,K24:K31,0))</f>
        <v>12</v>
      </c>
      <c r="M32" s="245">
        <f>INDEX(M24:M31,MATCH(Installment_Type,K24:K31,0))</f>
        <v>1</v>
      </c>
    </row>
    <row r="33" spans="1:17" ht="15.75" thickTop="1">
      <c r="A33" s="137"/>
      <c r="B33" s="137"/>
      <c r="C33" s="137"/>
      <c r="D33" s="384"/>
      <c r="E33" s="385"/>
      <c r="F33" s="385"/>
      <c r="G33" s="385"/>
      <c r="H33" s="386"/>
    </row>
    <row r="34" spans="1:17">
      <c r="A34" s="393" t="s">
        <v>116</v>
      </c>
      <c r="B34" s="393"/>
      <c r="C34" s="159">
        <f>(1+IRR($G$41:$G$59))^Monthly_Inst-1</f>
        <v>0.66108799707812604</v>
      </c>
      <c r="D34" s="387"/>
      <c r="E34" s="388"/>
      <c r="F34" s="388"/>
      <c r="G34" s="388"/>
      <c r="H34" s="389"/>
    </row>
    <row r="35" spans="1:17">
      <c r="A35" s="393" t="s">
        <v>117</v>
      </c>
      <c r="B35" s="393"/>
      <c r="C35" s="159">
        <f>IRR($G$41:$G$59)</f>
        <v>6.5489268757437324E-2</v>
      </c>
      <c r="D35" s="387"/>
      <c r="E35" s="388"/>
      <c r="F35" s="388"/>
      <c r="G35" s="388"/>
      <c r="H35" s="389"/>
    </row>
    <row r="36" spans="1:17">
      <c r="A36" s="393" t="s">
        <v>118</v>
      </c>
      <c r="B36" s="393"/>
      <c r="C36" s="157">
        <f>SUM($G$42:$G$59)</f>
        <v>-95003.016316385212</v>
      </c>
      <c r="D36" s="387"/>
      <c r="E36" s="388"/>
      <c r="F36" s="388"/>
      <c r="G36" s="388"/>
      <c r="H36" s="389"/>
    </row>
    <row r="37" spans="1:17">
      <c r="A37" s="393" t="s">
        <v>119</v>
      </c>
      <c r="B37" s="393"/>
      <c r="C37" s="157">
        <f>SUM($E$40:$E$59)</f>
        <v>14049.306316385209</v>
      </c>
      <c r="D37" s="390"/>
      <c r="E37" s="391"/>
      <c r="F37" s="391"/>
      <c r="G37" s="391"/>
      <c r="H37" s="392"/>
    </row>
    <row r="38" spans="1:17" ht="5.25" customHeight="1" thickBot="1">
      <c r="G38" s="112"/>
    </row>
    <row r="39" spans="1:17" ht="16.5" thickTop="1" thickBot="1">
      <c r="A39" s="168" t="s">
        <v>120</v>
      </c>
      <c r="B39" s="168" t="s">
        <v>21</v>
      </c>
      <c r="C39" s="168" t="s">
        <v>121</v>
      </c>
      <c r="D39" s="168" t="s">
        <v>24</v>
      </c>
      <c r="E39" s="168" t="s">
        <v>23</v>
      </c>
      <c r="F39" s="168" t="s">
        <v>114</v>
      </c>
      <c r="G39" s="168" t="s">
        <v>122</v>
      </c>
      <c r="H39" s="168" t="s">
        <v>123</v>
      </c>
    </row>
    <row r="40" spans="1:17" ht="15.75" thickTop="1">
      <c r="A40" s="247"/>
      <c r="B40" s="248"/>
      <c r="C40" s="249">
        <f>C26</f>
        <v>80953.710000000006</v>
      </c>
      <c r="D40" s="248"/>
      <c r="E40" s="248"/>
      <c r="F40" s="248"/>
      <c r="G40" s="248"/>
      <c r="H40" s="250">
        <f>C26</f>
        <v>80953.710000000006</v>
      </c>
    </row>
    <row r="41" spans="1:17">
      <c r="A41" s="123">
        <v>0</v>
      </c>
      <c r="B41" s="160"/>
      <c r="C41" s="113"/>
      <c r="D41" s="113"/>
      <c r="E41" s="113"/>
      <c r="F41" s="161">
        <f>C30</f>
        <v>8785.8382500000007</v>
      </c>
      <c r="G41" s="117">
        <f>H40-F41</f>
        <v>72167.871750000006</v>
      </c>
      <c r="H41" s="162">
        <f>C26</f>
        <v>80953.710000000006</v>
      </c>
    </row>
    <row r="42" spans="1:17">
      <c r="A42" s="123">
        <v>1</v>
      </c>
      <c r="B42" s="187">
        <f t="shared" ref="B42:B59" si="0">IF(A42="","",IF($L$32=26,(A42-1)*14+Start_Payment,IF($L$32=52,(A42-1)*7+Start_Payment,DATE(YEAR(Start_Payment),MONTH(Start_Payment)+(A42-1)*$M$32,IF($L$32=24,IF((MOD(A42-1,2))=1,DAY(Start_Payment)+15,DAY(Start_Payment)),DAY(Start_Payment))))))</f>
        <v>46128</v>
      </c>
      <c r="C42" s="113"/>
      <c r="D42" s="117">
        <f>IF(period2&lt;&gt;"",E42+G42,"")</f>
        <v>-8880.089769548149</v>
      </c>
      <c r="E42" s="117">
        <f t="shared" ref="E42:E59" si="1">IF(upfront="YES",0,IF(period2&lt;&gt;"",IF(G42&lt;0,(H41*$C$27),0),""))</f>
        <v>2995.2872700000003</v>
      </c>
      <c r="F42" s="117"/>
      <c r="G42" s="117">
        <f t="shared" ref="G42:G59" si="2">IF(period2&lt;&gt;"",IF(ROUND(H41,5)&gt;0,C$29,0),"")</f>
        <v>-11875.37703954815</v>
      </c>
      <c r="H42" s="164">
        <f>IF(period2&lt;&gt;"",IF(ROUND(H40,5)&gt;0,(D42-(-H41)),0),"")</f>
        <v>72073.620230451852</v>
      </c>
    </row>
    <row r="43" spans="1:17">
      <c r="A43" s="123">
        <f>IF(A42&lt;$C$28,A42+1,"")</f>
        <v>2</v>
      </c>
      <c r="B43" s="187">
        <f t="shared" si="0"/>
        <v>46158</v>
      </c>
      <c r="C43" s="113"/>
      <c r="D43" s="117">
        <f t="shared" ref="D43:D59" si="3">IF(period2&lt;&gt;"",E43+G43,"")</f>
        <v>-9208.6530910214315</v>
      </c>
      <c r="E43" s="117">
        <f t="shared" si="1"/>
        <v>2666.7239485267182</v>
      </c>
      <c r="F43" s="117"/>
      <c r="G43" s="117">
        <f t="shared" si="2"/>
        <v>-11875.37703954815</v>
      </c>
      <c r="H43" s="164">
        <f t="shared" ref="H43:H59" si="4">IF(period2&lt;&gt;"",IF(ROUND(H41,5)&gt;0,(D43-(-H42)),0),"")</f>
        <v>62864.967139430417</v>
      </c>
      <c r="Q43" s="115"/>
    </row>
    <row r="44" spans="1:17">
      <c r="A44" s="123">
        <f>IF(A43&lt;$C$28,A43+1,"")</f>
        <v>3</v>
      </c>
      <c r="B44" s="187">
        <f t="shared" si="0"/>
        <v>46189</v>
      </c>
      <c r="C44" s="113"/>
      <c r="D44" s="117">
        <f t="shared" si="3"/>
        <v>-9549.3732553892241</v>
      </c>
      <c r="E44" s="117">
        <f t="shared" si="1"/>
        <v>2326.0037841589251</v>
      </c>
      <c r="F44" s="117"/>
      <c r="G44" s="117">
        <f t="shared" si="2"/>
        <v>-11875.37703954815</v>
      </c>
      <c r="H44" s="164">
        <f t="shared" si="4"/>
        <v>53315.593884041191</v>
      </c>
    </row>
    <row r="45" spans="1:17">
      <c r="A45" s="123">
        <f t="shared" ref="A45:A59" si="5">IF(A44&lt;$C$28,A44+1,"")</f>
        <v>4</v>
      </c>
      <c r="B45" s="187">
        <f t="shared" si="0"/>
        <v>46219</v>
      </c>
      <c r="C45" s="113"/>
      <c r="D45" s="117">
        <f t="shared" si="3"/>
        <v>-9902.700065838626</v>
      </c>
      <c r="E45" s="117">
        <f t="shared" si="1"/>
        <v>1972.676973709524</v>
      </c>
      <c r="F45" s="113"/>
      <c r="G45" s="117">
        <f t="shared" si="2"/>
        <v>-11875.37703954815</v>
      </c>
      <c r="H45" s="164">
        <f t="shared" si="4"/>
        <v>43412.893818202567</v>
      </c>
    </row>
    <row r="46" spans="1:17">
      <c r="A46" s="123">
        <f t="shared" si="5"/>
        <v>5</v>
      </c>
      <c r="B46" s="187">
        <f t="shared" si="0"/>
        <v>46250</v>
      </c>
      <c r="C46" s="113"/>
      <c r="D46" s="117">
        <f t="shared" si="3"/>
        <v>-10269.099968274655</v>
      </c>
      <c r="E46" s="117">
        <f t="shared" si="1"/>
        <v>1606.2770712734948</v>
      </c>
      <c r="F46" s="113"/>
      <c r="G46" s="117">
        <f t="shared" si="2"/>
        <v>-11875.37703954815</v>
      </c>
      <c r="H46" s="164">
        <f t="shared" si="4"/>
        <v>33143.793849927912</v>
      </c>
    </row>
    <row r="47" spans="1:17">
      <c r="A47" s="123">
        <f t="shared" si="5"/>
        <v>6</v>
      </c>
      <c r="B47" s="187">
        <f t="shared" si="0"/>
        <v>46281</v>
      </c>
      <c r="C47" s="117"/>
      <c r="D47" s="117">
        <f t="shared" si="3"/>
        <v>-10649.056667100816</v>
      </c>
      <c r="E47" s="117">
        <f t="shared" si="1"/>
        <v>1226.3203724473326</v>
      </c>
      <c r="F47" s="117"/>
      <c r="G47" s="117">
        <f t="shared" si="2"/>
        <v>-11875.37703954815</v>
      </c>
      <c r="H47" s="164">
        <f t="shared" si="4"/>
        <v>22494.737182827095</v>
      </c>
    </row>
    <row r="48" spans="1:17">
      <c r="A48" s="123">
        <f t="shared" si="5"/>
        <v>7</v>
      </c>
      <c r="B48" s="187">
        <f t="shared" si="0"/>
        <v>46311</v>
      </c>
      <c r="C48" s="117"/>
      <c r="D48" s="117">
        <f t="shared" si="3"/>
        <v>-11043.071763783548</v>
      </c>
      <c r="E48" s="117">
        <f t="shared" si="1"/>
        <v>832.30527576460247</v>
      </c>
      <c r="F48" s="117"/>
      <c r="G48" s="117">
        <f t="shared" si="2"/>
        <v>-11875.37703954815</v>
      </c>
      <c r="H48" s="164">
        <f t="shared" si="4"/>
        <v>11451.665419043547</v>
      </c>
    </row>
    <row r="49" spans="1:11">
      <c r="A49" s="123">
        <f t="shared" si="5"/>
        <v>8</v>
      </c>
      <c r="B49" s="187">
        <f t="shared" si="0"/>
        <v>46342</v>
      </c>
      <c r="C49" s="117"/>
      <c r="D49" s="117">
        <f t="shared" si="3"/>
        <v>-11451.665419043538</v>
      </c>
      <c r="E49" s="117">
        <f t="shared" si="1"/>
        <v>423.71162050461123</v>
      </c>
      <c r="F49" s="117"/>
      <c r="G49" s="117">
        <f t="shared" si="2"/>
        <v>-11875.37703954815</v>
      </c>
      <c r="H49" s="164">
        <f t="shared" si="4"/>
        <v>9.0949470177292824E-12</v>
      </c>
    </row>
    <row r="50" spans="1:11">
      <c r="A50" s="123" t="str">
        <f t="shared" si="5"/>
        <v/>
      </c>
      <c r="B50" s="187" t="str">
        <f t="shared" si="0"/>
        <v/>
      </c>
      <c r="C50" s="117"/>
      <c r="D50" s="117" t="str">
        <f t="shared" si="3"/>
        <v/>
      </c>
      <c r="E50" s="117" t="str">
        <f t="shared" si="1"/>
        <v/>
      </c>
      <c r="F50" s="117"/>
      <c r="G50" s="117" t="str">
        <f t="shared" si="2"/>
        <v/>
      </c>
      <c r="H50" s="164" t="str">
        <f t="shared" si="4"/>
        <v/>
      </c>
    </row>
    <row r="51" spans="1:11">
      <c r="A51" s="123" t="str">
        <f t="shared" si="5"/>
        <v/>
      </c>
      <c r="B51" s="187" t="str">
        <f t="shared" si="0"/>
        <v/>
      </c>
      <c r="C51" s="117"/>
      <c r="D51" s="117" t="str">
        <f t="shared" si="3"/>
        <v/>
      </c>
      <c r="E51" s="117" t="str">
        <f t="shared" si="1"/>
        <v/>
      </c>
      <c r="F51" s="117"/>
      <c r="G51" s="117" t="str">
        <f t="shared" si="2"/>
        <v/>
      </c>
      <c r="H51" s="164" t="str">
        <f t="shared" si="4"/>
        <v/>
      </c>
    </row>
    <row r="52" spans="1:11">
      <c r="A52" s="123" t="str">
        <f t="shared" si="5"/>
        <v/>
      </c>
      <c r="B52" s="187" t="str">
        <f t="shared" si="0"/>
        <v/>
      </c>
      <c r="C52" s="117"/>
      <c r="D52" s="117" t="str">
        <f t="shared" si="3"/>
        <v/>
      </c>
      <c r="E52" s="117" t="str">
        <f t="shared" si="1"/>
        <v/>
      </c>
      <c r="F52" s="117"/>
      <c r="G52" s="117" t="str">
        <f t="shared" si="2"/>
        <v/>
      </c>
      <c r="H52" s="164" t="str">
        <f t="shared" si="4"/>
        <v/>
      </c>
    </row>
    <row r="53" spans="1:11">
      <c r="A53" s="123" t="str">
        <f t="shared" si="5"/>
        <v/>
      </c>
      <c r="B53" s="187" t="str">
        <f t="shared" si="0"/>
        <v/>
      </c>
      <c r="C53" s="117"/>
      <c r="D53" s="117" t="str">
        <f t="shared" si="3"/>
        <v/>
      </c>
      <c r="E53" s="117" t="str">
        <f t="shared" si="1"/>
        <v/>
      </c>
      <c r="F53" s="117"/>
      <c r="G53" s="117" t="str">
        <f t="shared" si="2"/>
        <v/>
      </c>
      <c r="H53" s="164" t="str">
        <f t="shared" si="4"/>
        <v/>
      </c>
    </row>
    <row r="54" spans="1:11">
      <c r="A54" s="123" t="str">
        <f t="shared" si="5"/>
        <v/>
      </c>
      <c r="B54" s="187" t="str">
        <f t="shared" si="0"/>
        <v/>
      </c>
      <c r="C54" s="117"/>
      <c r="D54" s="117" t="str">
        <f t="shared" si="3"/>
        <v/>
      </c>
      <c r="E54" s="117" t="str">
        <f t="shared" si="1"/>
        <v/>
      </c>
      <c r="F54" s="113"/>
      <c r="G54" s="117" t="str">
        <f t="shared" si="2"/>
        <v/>
      </c>
      <c r="H54" s="164" t="str">
        <f t="shared" si="4"/>
        <v/>
      </c>
    </row>
    <row r="55" spans="1:11">
      <c r="A55" s="123" t="str">
        <f t="shared" si="5"/>
        <v/>
      </c>
      <c r="B55" s="187" t="str">
        <f t="shared" si="0"/>
        <v/>
      </c>
      <c r="C55" s="117"/>
      <c r="D55" s="117" t="str">
        <f t="shared" si="3"/>
        <v/>
      </c>
      <c r="E55" s="117" t="str">
        <f t="shared" si="1"/>
        <v/>
      </c>
      <c r="F55" s="113"/>
      <c r="G55" s="117" t="str">
        <f t="shared" si="2"/>
        <v/>
      </c>
      <c r="H55" s="164" t="str">
        <f t="shared" si="4"/>
        <v/>
      </c>
    </row>
    <row r="56" spans="1:11">
      <c r="A56" s="123" t="str">
        <f t="shared" si="5"/>
        <v/>
      </c>
      <c r="B56" s="187" t="str">
        <f t="shared" si="0"/>
        <v/>
      </c>
      <c r="C56" s="117"/>
      <c r="D56" s="117" t="str">
        <f t="shared" si="3"/>
        <v/>
      </c>
      <c r="E56" s="117" t="str">
        <f t="shared" si="1"/>
        <v/>
      </c>
      <c r="F56" s="113"/>
      <c r="G56" s="117" t="str">
        <f t="shared" si="2"/>
        <v/>
      </c>
      <c r="H56" s="164" t="str">
        <f t="shared" si="4"/>
        <v/>
      </c>
    </row>
    <row r="57" spans="1:11">
      <c r="A57" s="123" t="str">
        <f t="shared" si="5"/>
        <v/>
      </c>
      <c r="B57" s="187" t="str">
        <f t="shared" si="0"/>
        <v/>
      </c>
      <c r="C57" s="117"/>
      <c r="D57" s="117" t="str">
        <f t="shared" si="3"/>
        <v/>
      </c>
      <c r="E57" s="117" t="str">
        <f t="shared" si="1"/>
        <v/>
      </c>
      <c r="F57" s="113"/>
      <c r="G57" s="117" t="str">
        <f t="shared" si="2"/>
        <v/>
      </c>
      <c r="H57" s="164" t="str">
        <f t="shared" si="4"/>
        <v/>
      </c>
    </row>
    <row r="58" spans="1:11">
      <c r="A58" s="123" t="str">
        <f t="shared" si="5"/>
        <v/>
      </c>
      <c r="B58" s="187" t="str">
        <f t="shared" si="0"/>
        <v/>
      </c>
      <c r="C58" s="117"/>
      <c r="D58" s="117" t="str">
        <f t="shared" si="3"/>
        <v/>
      </c>
      <c r="E58" s="117" t="str">
        <f t="shared" si="1"/>
        <v/>
      </c>
      <c r="F58" s="113"/>
      <c r="G58" s="117" t="str">
        <f t="shared" si="2"/>
        <v/>
      </c>
      <c r="H58" s="164" t="str">
        <f t="shared" si="4"/>
        <v/>
      </c>
    </row>
    <row r="59" spans="1:11">
      <c r="A59" s="165" t="str">
        <f t="shared" si="5"/>
        <v/>
      </c>
      <c r="B59" s="188" t="str">
        <f t="shared" si="0"/>
        <v/>
      </c>
      <c r="C59" s="148"/>
      <c r="D59" s="148" t="str">
        <f t="shared" si="3"/>
        <v/>
      </c>
      <c r="E59" s="148" t="str">
        <f t="shared" si="1"/>
        <v/>
      </c>
      <c r="F59" s="166"/>
      <c r="G59" s="148" t="str">
        <f t="shared" si="2"/>
        <v/>
      </c>
      <c r="H59" s="167" t="str">
        <f t="shared" si="4"/>
        <v/>
      </c>
      <c r="K59" s="116"/>
    </row>
    <row r="60" spans="1:11" ht="9" customHeight="1">
      <c r="A60" s="113"/>
      <c r="B60" s="163"/>
      <c r="C60" s="117"/>
      <c r="D60" s="117"/>
      <c r="E60" s="117"/>
      <c r="F60" s="113"/>
      <c r="G60" s="117"/>
      <c r="H60" s="114"/>
    </row>
    <row r="61" spans="1:11" ht="19.5">
      <c r="A61" s="368" t="str">
        <f>"Interest Rate of " &amp; (Contractual_Rate*100) &amp;"% is equivalent to the Add On Rate of " &amp; ROUND((((((Total_InterestRate/C26)/Monthly_Inst))))*100,2) &amp; "% per Month"</f>
        <v>Interest Rate of 3.7% is equivalent to the Add On Rate of 2.17% per Month</v>
      </c>
      <c r="B61" s="368"/>
      <c r="C61" s="368"/>
      <c r="D61" s="368"/>
      <c r="E61" s="368"/>
      <c r="F61" s="368"/>
      <c r="G61" s="368"/>
      <c r="H61" s="114"/>
    </row>
    <row r="62" spans="1:11" ht="6" customHeight="1">
      <c r="A62" s="173"/>
      <c r="B62" s="173"/>
      <c r="C62" s="173"/>
      <c r="D62" s="173"/>
      <c r="E62" s="173"/>
      <c r="F62" s="173"/>
      <c r="G62" s="173"/>
      <c r="H62" s="114"/>
    </row>
    <row r="63" spans="1:11">
      <c r="A63" s="118" t="s">
        <v>124</v>
      </c>
      <c r="B63" s="119"/>
      <c r="C63" s="119"/>
      <c r="D63" s="120"/>
      <c r="E63" s="121" t="s">
        <v>53</v>
      </c>
      <c r="F63" s="147"/>
      <c r="G63" s="122"/>
      <c r="H63" s="120"/>
      <c r="I63" s="117"/>
      <c r="J63" s="114"/>
    </row>
    <row r="64" spans="1:11">
      <c r="A64" s="123"/>
      <c r="B64" s="113"/>
      <c r="C64" s="113"/>
      <c r="D64" s="124"/>
      <c r="E64" s="125"/>
      <c r="F64" s="117"/>
      <c r="G64" s="117"/>
      <c r="H64" s="124"/>
      <c r="I64" s="117"/>
      <c r="J64" s="114"/>
    </row>
    <row r="65" spans="1:10">
      <c r="A65" s="123"/>
      <c r="B65" s="113"/>
      <c r="C65" s="113"/>
      <c r="D65" s="124"/>
      <c r="E65" s="127"/>
      <c r="F65" s="148"/>
      <c r="G65" s="128"/>
      <c r="H65" s="126"/>
      <c r="I65" s="117"/>
      <c r="J65" s="114"/>
    </row>
    <row r="66" spans="1:10">
      <c r="A66" s="129" t="s">
        <v>29</v>
      </c>
      <c r="B66" s="119"/>
      <c r="C66" s="119"/>
      <c r="D66" s="120"/>
      <c r="E66" s="129" t="s">
        <v>27</v>
      </c>
      <c r="F66" s="149"/>
      <c r="G66" s="122"/>
      <c r="H66" s="120"/>
      <c r="I66" s="117"/>
      <c r="J66" s="114"/>
    </row>
    <row r="67" spans="1:10">
      <c r="A67" s="130"/>
      <c r="B67" s="113"/>
      <c r="C67" s="113"/>
      <c r="D67" s="124"/>
      <c r="E67" s="125"/>
      <c r="F67" s="117"/>
      <c r="G67" s="117"/>
      <c r="H67" s="124"/>
      <c r="I67" s="117"/>
      <c r="J67" s="114"/>
    </row>
    <row r="68" spans="1:10">
      <c r="A68" s="131"/>
      <c r="B68" s="128"/>
      <c r="C68" s="128"/>
      <c r="D68" s="132"/>
      <c r="E68" s="133"/>
      <c r="F68" s="128"/>
      <c r="G68" s="128"/>
      <c r="H68" s="132"/>
      <c r="I68" s="117"/>
      <c r="J68" s="114"/>
    </row>
    <row r="69" spans="1:10">
      <c r="G69" s="112"/>
      <c r="H69" s="114"/>
    </row>
    <row r="70" spans="1:10">
      <c r="G70" s="112"/>
      <c r="H70" s="114"/>
    </row>
    <row r="71" spans="1:10">
      <c r="G71" s="112"/>
      <c r="H71" s="114"/>
    </row>
    <row r="72" spans="1:10">
      <c r="G72" s="112"/>
      <c r="H72" s="114"/>
    </row>
    <row r="73" spans="1:10">
      <c r="G73" s="112"/>
      <c r="H73" s="114"/>
    </row>
    <row r="74" spans="1:10">
      <c r="G74" s="112"/>
      <c r="H74" s="114"/>
    </row>
    <row r="75" spans="1:10">
      <c r="G75" s="112"/>
      <c r="H75" s="114"/>
    </row>
    <row r="76" spans="1:10">
      <c r="G76" s="112"/>
      <c r="H76" s="114"/>
    </row>
    <row r="77" spans="1:10">
      <c r="A77" s="113"/>
      <c r="B77" s="113"/>
      <c r="C77" s="113"/>
      <c r="D77" s="112"/>
      <c r="E77" s="112"/>
      <c r="F77" s="113"/>
      <c r="G77" s="112"/>
      <c r="H77" s="114"/>
    </row>
    <row r="78" spans="1:10">
      <c r="A78" s="113"/>
      <c r="B78" s="113"/>
      <c r="C78" s="113"/>
      <c r="D78" s="112"/>
      <c r="E78" s="112"/>
      <c r="F78" s="113"/>
      <c r="G78" s="112"/>
      <c r="H78" s="114"/>
    </row>
    <row r="79" spans="1:10">
      <c r="A79" s="113"/>
      <c r="B79" s="113"/>
      <c r="C79" s="113"/>
      <c r="D79" s="112"/>
      <c r="E79" s="112"/>
      <c r="F79" s="113"/>
      <c r="G79" s="112"/>
      <c r="H79" s="114"/>
    </row>
    <row r="80" spans="1:10">
      <c r="A80" s="113"/>
      <c r="B80" s="113"/>
      <c r="C80" s="113"/>
      <c r="D80" s="112"/>
      <c r="E80" s="112"/>
      <c r="F80" s="113"/>
      <c r="G80" s="112"/>
      <c r="H80" s="114"/>
    </row>
    <row r="81" spans="1:8">
      <c r="A81" s="113"/>
      <c r="B81" s="113"/>
      <c r="C81" s="113"/>
      <c r="D81" s="112"/>
      <c r="E81" s="112"/>
      <c r="F81" s="113"/>
      <c r="G81" s="112"/>
      <c r="H81" s="114"/>
    </row>
    <row r="82" spans="1:8">
      <c r="A82" s="113"/>
      <c r="B82" s="113"/>
      <c r="C82" s="113"/>
      <c r="D82" s="112"/>
      <c r="E82" s="112"/>
      <c r="F82" s="113"/>
      <c r="G82" s="112"/>
      <c r="H82" s="114"/>
    </row>
    <row r="83" spans="1:8">
      <c r="A83" s="113"/>
      <c r="B83" s="113"/>
      <c r="C83" s="113"/>
      <c r="D83" s="112"/>
      <c r="E83" s="112"/>
      <c r="F83" s="113"/>
      <c r="G83" s="112"/>
      <c r="H83" s="114"/>
    </row>
    <row r="84" spans="1:8">
      <c r="A84" s="113"/>
      <c r="B84" s="113"/>
      <c r="C84" s="113"/>
      <c r="D84" s="112"/>
      <c r="E84" s="112"/>
      <c r="F84" s="113"/>
      <c r="G84" s="112"/>
      <c r="H84" s="114"/>
    </row>
    <row r="85" spans="1:8">
      <c r="A85" s="113"/>
      <c r="B85" s="113"/>
      <c r="C85" s="113"/>
      <c r="D85" s="112"/>
      <c r="E85" s="112"/>
      <c r="F85" s="113"/>
      <c r="G85" s="112"/>
      <c r="H85" s="114"/>
    </row>
    <row r="86" spans="1:8">
      <c r="A86" s="113"/>
      <c r="B86" s="113"/>
      <c r="C86" s="113"/>
      <c r="D86" s="112"/>
      <c r="E86" s="112"/>
      <c r="F86" s="113"/>
      <c r="G86" s="112"/>
      <c r="H86" s="114"/>
    </row>
    <row r="87" spans="1:8">
      <c r="A87" s="113"/>
      <c r="B87" s="113"/>
      <c r="C87" s="113"/>
      <c r="D87" s="112"/>
      <c r="E87" s="112"/>
      <c r="F87" s="113"/>
      <c r="G87" s="112"/>
      <c r="H87" s="114"/>
    </row>
    <row r="88" spans="1:8">
      <c r="A88" s="113"/>
      <c r="B88" s="113"/>
      <c r="C88" s="113"/>
      <c r="D88" s="112"/>
      <c r="E88" s="112"/>
      <c r="F88" s="113"/>
      <c r="G88" s="112"/>
      <c r="H88" s="114"/>
    </row>
    <row r="89" spans="1:8">
      <c r="A89" s="113"/>
      <c r="B89" s="113"/>
      <c r="C89" s="113"/>
      <c r="D89" s="112"/>
      <c r="E89" s="112"/>
      <c r="F89" s="113"/>
      <c r="G89" s="112"/>
      <c r="H89" s="114"/>
    </row>
    <row r="90" spans="1:8">
      <c r="A90" s="113"/>
      <c r="B90" s="113"/>
      <c r="C90" s="113"/>
      <c r="D90" s="112"/>
      <c r="E90" s="112"/>
      <c r="F90" s="113"/>
      <c r="G90" s="112"/>
      <c r="H90" s="114"/>
    </row>
    <row r="91" spans="1:8">
      <c r="A91" s="113"/>
      <c r="B91" s="113"/>
      <c r="C91" s="113"/>
      <c r="D91" s="112"/>
      <c r="E91" s="112"/>
      <c r="F91" s="113"/>
      <c r="G91" s="112"/>
      <c r="H91" s="114"/>
    </row>
    <row r="92" spans="1:8">
      <c r="A92" s="113"/>
      <c r="B92" s="113"/>
      <c r="C92" s="113"/>
      <c r="D92" s="112"/>
      <c r="E92" s="112"/>
      <c r="F92" s="113"/>
      <c r="G92" s="112"/>
      <c r="H92" s="114"/>
    </row>
    <row r="93" spans="1:8">
      <c r="A93" s="113"/>
      <c r="B93" s="113"/>
      <c r="C93" s="113"/>
      <c r="D93" s="112"/>
      <c r="E93" s="112"/>
      <c r="F93" s="113"/>
      <c r="G93" s="112"/>
      <c r="H93" s="114"/>
    </row>
    <row r="94" spans="1:8">
      <c r="A94" s="113"/>
      <c r="B94" s="113"/>
      <c r="C94" s="113"/>
      <c r="D94" s="112"/>
      <c r="E94" s="112"/>
      <c r="F94" s="113"/>
      <c r="G94" s="112"/>
      <c r="H94" s="114"/>
    </row>
    <row r="95" spans="1:8">
      <c r="A95" s="113"/>
      <c r="B95" s="113"/>
      <c r="C95" s="113"/>
      <c r="D95" s="112"/>
      <c r="E95" s="112"/>
      <c r="F95" s="113"/>
      <c r="G95" s="112"/>
      <c r="H95" s="114"/>
    </row>
    <row r="96" spans="1:8">
      <c r="A96" s="113"/>
      <c r="B96" s="113"/>
      <c r="C96" s="113"/>
      <c r="D96" s="112"/>
      <c r="E96" s="112"/>
      <c r="F96" s="113"/>
      <c r="G96" s="112"/>
      <c r="H96" s="114"/>
    </row>
    <row r="97" spans="1:8">
      <c r="A97" s="113"/>
      <c r="B97" s="113"/>
      <c r="C97" s="113"/>
      <c r="D97" s="112"/>
      <c r="E97" s="112"/>
      <c r="F97" s="113"/>
      <c r="G97" s="112"/>
      <c r="H97" s="114"/>
    </row>
    <row r="98" spans="1:8">
      <c r="A98" s="113"/>
      <c r="B98" s="113"/>
      <c r="C98" s="113"/>
      <c r="D98" s="112"/>
      <c r="E98" s="112"/>
      <c r="F98" s="113"/>
      <c r="G98" s="112"/>
      <c r="H98" s="114"/>
    </row>
    <row r="99" spans="1:8">
      <c r="A99" s="113"/>
      <c r="B99" s="113"/>
      <c r="C99" s="113"/>
      <c r="D99" s="112"/>
      <c r="E99" s="112"/>
      <c r="F99" s="113"/>
      <c r="G99" s="112"/>
      <c r="H99" s="114"/>
    </row>
    <row r="100" spans="1:8">
      <c r="A100" s="113"/>
      <c r="B100" s="113"/>
      <c r="C100" s="113"/>
      <c r="D100" s="112"/>
      <c r="E100" s="112"/>
      <c r="F100" s="113"/>
      <c r="G100" s="112"/>
      <c r="H100" s="114"/>
    </row>
    <row r="101" spans="1:8">
      <c r="A101" s="113"/>
      <c r="B101" s="113"/>
      <c r="C101" s="113"/>
      <c r="D101" s="112"/>
      <c r="E101" s="112"/>
      <c r="F101" s="113"/>
      <c r="G101" s="112"/>
      <c r="H101" s="114"/>
    </row>
    <row r="102" spans="1:8">
      <c r="A102" s="113"/>
      <c r="B102" s="113"/>
      <c r="C102" s="113"/>
      <c r="D102" s="112"/>
      <c r="E102" s="112"/>
      <c r="F102" s="113"/>
      <c r="G102" s="112"/>
      <c r="H102" s="114"/>
    </row>
    <row r="103" spans="1:8">
      <c r="A103" s="113"/>
      <c r="B103" s="113"/>
      <c r="C103" s="113"/>
      <c r="D103" s="112"/>
      <c r="E103" s="112"/>
      <c r="F103" s="113"/>
      <c r="G103" s="112"/>
      <c r="H103" s="114"/>
    </row>
    <row r="104" spans="1:8">
      <c r="A104" s="113"/>
      <c r="B104" s="113"/>
      <c r="C104" s="113"/>
      <c r="D104" s="112"/>
      <c r="E104" s="112"/>
      <c r="F104" s="113"/>
      <c r="G104" s="112"/>
      <c r="H104" s="114"/>
    </row>
    <row r="105" spans="1:8">
      <c r="A105" s="113"/>
      <c r="B105" s="113"/>
      <c r="C105" s="113"/>
      <c r="D105" s="112"/>
      <c r="E105" s="112"/>
      <c r="F105" s="113"/>
      <c r="G105" s="112"/>
      <c r="H105" s="114"/>
    </row>
    <row r="106" spans="1:8">
      <c r="A106" s="113"/>
      <c r="B106" s="113"/>
      <c r="C106" s="113"/>
      <c r="D106" s="112"/>
      <c r="E106" s="112"/>
      <c r="F106" s="113"/>
      <c r="G106" s="112"/>
      <c r="H106" s="114"/>
    </row>
    <row r="107" spans="1:8">
      <c r="A107" s="113"/>
      <c r="B107" s="113"/>
      <c r="C107" s="113"/>
      <c r="D107" s="112"/>
      <c r="E107" s="112"/>
      <c r="F107" s="113"/>
      <c r="G107" s="112"/>
      <c r="H107" s="114"/>
    </row>
    <row r="108" spans="1:8">
      <c r="A108" s="113"/>
      <c r="B108" s="113"/>
      <c r="C108" s="113"/>
      <c r="D108" s="112"/>
      <c r="E108" s="112"/>
      <c r="F108" s="113"/>
      <c r="G108" s="112"/>
      <c r="H108" s="114"/>
    </row>
    <row r="109" spans="1:8">
      <c r="A109" s="113"/>
      <c r="B109" s="113"/>
      <c r="C109" s="113"/>
      <c r="D109" s="112"/>
      <c r="E109" s="112"/>
      <c r="F109" s="113"/>
      <c r="G109" s="112"/>
      <c r="H109" s="114"/>
    </row>
    <row r="110" spans="1:8">
      <c r="A110" s="113"/>
      <c r="B110" s="113"/>
      <c r="C110" s="113"/>
      <c r="D110" s="112"/>
      <c r="E110" s="112"/>
      <c r="F110" s="113"/>
      <c r="G110" s="112"/>
      <c r="H110" s="114"/>
    </row>
    <row r="111" spans="1:8">
      <c r="A111" s="113"/>
      <c r="B111" s="113"/>
      <c r="C111" s="113"/>
      <c r="D111" s="112"/>
      <c r="E111" s="112"/>
      <c r="F111" s="113"/>
      <c r="G111" s="112"/>
      <c r="H111" s="114"/>
    </row>
    <row r="112" spans="1:8">
      <c r="A112" s="113"/>
      <c r="B112" s="113"/>
      <c r="C112" s="113"/>
      <c r="D112" s="112"/>
      <c r="E112" s="112"/>
      <c r="F112" s="113"/>
      <c r="G112" s="112"/>
      <c r="H112" s="114"/>
    </row>
    <row r="113" spans="1:8">
      <c r="A113" s="113"/>
      <c r="B113" s="113"/>
      <c r="C113" s="113"/>
      <c r="D113" s="112"/>
      <c r="E113" s="112"/>
      <c r="F113" s="113"/>
      <c r="G113" s="112"/>
      <c r="H113" s="114"/>
    </row>
    <row r="114" spans="1:8">
      <c r="A114" s="113"/>
      <c r="B114" s="113"/>
      <c r="C114" s="113"/>
      <c r="D114" s="112"/>
      <c r="E114" s="112"/>
      <c r="F114" s="113"/>
      <c r="G114" s="112"/>
      <c r="H114" s="114"/>
    </row>
    <row r="115" spans="1:8">
      <c r="A115" s="113"/>
      <c r="B115" s="113"/>
      <c r="C115" s="113"/>
      <c r="D115" s="112"/>
      <c r="E115" s="112"/>
      <c r="F115" s="113"/>
      <c r="G115" s="112"/>
      <c r="H115" s="114"/>
    </row>
    <row r="116" spans="1:8">
      <c r="A116" s="113"/>
      <c r="B116" s="113"/>
      <c r="C116" s="113"/>
      <c r="D116" s="112"/>
      <c r="E116" s="112"/>
      <c r="F116" s="113"/>
      <c r="G116" s="112"/>
      <c r="H116" s="114"/>
    </row>
    <row r="117" spans="1:8">
      <c r="A117" s="113"/>
      <c r="B117" s="113"/>
      <c r="C117" s="113"/>
      <c r="D117" s="112"/>
      <c r="E117" s="112"/>
      <c r="F117" s="113"/>
      <c r="G117" s="112"/>
      <c r="H117" s="114"/>
    </row>
    <row r="118" spans="1:8">
      <c r="A118" s="113"/>
      <c r="B118" s="113"/>
      <c r="C118" s="113"/>
      <c r="D118" s="112"/>
      <c r="E118" s="112"/>
      <c r="F118" s="113"/>
      <c r="G118" s="112"/>
      <c r="H118" s="114"/>
    </row>
    <row r="119" spans="1:8">
      <c r="A119" s="113"/>
      <c r="B119" s="113"/>
      <c r="C119" s="113"/>
      <c r="D119" s="112"/>
      <c r="E119" s="112"/>
      <c r="F119" s="113"/>
      <c r="G119" s="112"/>
      <c r="H119" s="114"/>
    </row>
    <row r="120" spans="1:8">
      <c r="A120" s="113"/>
      <c r="B120" s="113"/>
      <c r="C120" s="113"/>
      <c r="D120" s="112"/>
      <c r="E120" s="112"/>
      <c r="F120" s="113"/>
      <c r="G120" s="112"/>
      <c r="H120" s="114"/>
    </row>
    <row r="121" spans="1:8">
      <c r="A121" s="113"/>
      <c r="B121" s="113"/>
      <c r="C121" s="113"/>
      <c r="D121" s="112"/>
      <c r="E121" s="112"/>
      <c r="F121" s="113"/>
      <c r="G121" s="112"/>
      <c r="H121" s="114"/>
    </row>
    <row r="122" spans="1:8">
      <c r="A122" s="113"/>
      <c r="B122" s="113"/>
      <c r="C122" s="113"/>
      <c r="D122" s="112"/>
      <c r="E122" s="112"/>
      <c r="F122" s="113"/>
      <c r="G122" s="112"/>
      <c r="H122" s="114"/>
    </row>
    <row r="123" spans="1:8">
      <c r="A123" s="113"/>
      <c r="B123" s="113"/>
      <c r="C123" s="113"/>
      <c r="D123" s="112"/>
      <c r="E123" s="112"/>
      <c r="F123" s="113"/>
      <c r="G123" s="112"/>
      <c r="H123" s="114"/>
    </row>
    <row r="124" spans="1:8">
      <c r="A124" s="113"/>
      <c r="B124" s="113"/>
      <c r="C124" s="113"/>
      <c r="D124" s="112"/>
      <c r="E124" s="112"/>
      <c r="F124" s="113"/>
      <c r="G124" s="112"/>
      <c r="H124" s="114"/>
    </row>
    <row r="125" spans="1:8">
      <c r="A125" s="113"/>
      <c r="B125" s="113"/>
      <c r="C125" s="113"/>
      <c r="D125" s="112"/>
      <c r="E125" s="112"/>
      <c r="F125" s="113"/>
      <c r="G125" s="112"/>
      <c r="H125" s="114"/>
    </row>
    <row r="126" spans="1:8">
      <c r="A126" s="113"/>
      <c r="B126" s="113"/>
      <c r="C126" s="113"/>
      <c r="D126" s="112"/>
      <c r="E126" s="112"/>
      <c r="F126" s="113"/>
      <c r="G126" s="112"/>
      <c r="H126" s="114"/>
    </row>
    <row r="127" spans="1:8">
      <c r="A127" s="113"/>
      <c r="B127" s="113"/>
      <c r="C127" s="113"/>
      <c r="D127" s="112"/>
      <c r="E127" s="112"/>
      <c r="F127" s="113"/>
      <c r="G127" s="112"/>
      <c r="H127" s="114"/>
    </row>
    <row r="128" spans="1:8">
      <c r="A128" s="113"/>
      <c r="B128" s="113"/>
      <c r="C128" s="113"/>
      <c r="D128" s="112"/>
      <c r="E128" s="112"/>
      <c r="F128" s="113"/>
      <c r="G128" s="112"/>
      <c r="H128" s="114"/>
    </row>
    <row r="129" spans="1:8">
      <c r="A129" s="113"/>
      <c r="B129" s="113"/>
      <c r="C129" s="113"/>
      <c r="D129" s="112"/>
      <c r="E129" s="112"/>
      <c r="F129" s="113"/>
      <c r="G129" s="112"/>
      <c r="H129" s="114"/>
    </row>
    <row r="130" spans="1:8">
      <c r="A130" s="113"/>
      <c r="B130" s="113"/>
      <c r="C130" s="113"/>
      <c r="D130" s="112"/>
      <c r="E130" s="112"/>
      <c r="F130" s="113"/>
      <c r="G130" s="112"/>
      <c r="H130" s="114"/>
    </row>
    <row r="131" spans="1:8">
      <c r="A131" s="113"/>
      <c r="B131" s="113"/>
      <c r="C131" s="113"/>
      <c r="D131" s="112"/>
      <c r="E131" s="112"/>
      <c r="F131" s="113"/>
      <c r="G131" s="112"/>
      <c r="H131" s="114"/>
    </row>
    <row r="132" spans="1:8">
      <c r="A132" s="113"/>
      <c r="B132" s="113"/>
      <c r="C132" s="113"/>
      <c r="D132" s="112"/>
      <c r="E132" s="112"/>
      <c r="F132" s="113"/>
      <c r="G132" s="112"/>
      <c r="H132" s="114"/>
    </row>
    <row r="133" spans="1:8">
      <c r="A133" s="113"/>
      <c r="B133" s="113"/>
      <c r="C133" s="113"/>
      <c r="D133" s="112"/>
      <c r="E133" s="112"/>
      <c r="F133" s="113"/>
      <c r="G133" s="112"/>
      <c r="H133" s="114"/>
    </row>
    <row r="134" spans="1:8">
      <c r="A134" s="113"/>
      <c r="B134" s="113"/>
      <c r="C134" s="113"/>
      <c r="D134" s="112"/>
      <c r="E134" s="112"/>
      <c r="F134" s="113"/>
      <c r="G134" s="112"/>
      <c r="H134" s="114"/>
    </row>
    <row r="135" spans="1:8">
      <c r="A135" s="113"/>
      <c r="B135" s="113"/>
      <c r="C135" s="113"/>
      <c r="D135" s="112"/>
      <c r="E135" s="112"/>
      <c r="F135" s="113"/>
      <c r="G135" s="112"/>
      <c r="H135" s="114"/>
    </row>
    <row r="136" spans="1:8">
      <c r="A136" s="113"/>
      <c r="B136" s="113"/>
      <c r="C136" s="113"/>
      <c r="D136" s="112"/>
      <c r="E136" s="112"/>
      <c r="F136" s="113"/>
      <c r="G136" s="112"/>
      <c r="H136" s="114"/>
    </row>
    <row r="137" spans="1:8">
      <c r="A137" s="113"/>
      <c r="B137" s="113"/>
      <c r="C137" s="113"/>
      <c r="D137" s="112"/>
      <c r="E137" s="112"/>
      <c r="F137" s="113"/>
      <c r="G137" s="112"/>
      <c r="H137" s="114"/>
    </row>
    <row r="138" spans="1:8">
      <c r="A138" s="113"/>
      <c r="B138" s="113"/>
      <c r="C138" s="113"/>
      <c r="D138" s="112"/>
      <c r="E138" s="112"/>
      <c r="F138" s="113"/>
      <c r="G138" s="112"/>
      <c r="H138" s="114"/>
    </row>
    <row r="139" spans="1:8">
      <c r="A139" s="113"/>
      <c r="B139" s="113"/>
      <c r="C139" s="113"/>
      <c r="D139" s="112"/>
      <c r="E139" s="112"/>
      <c r="F139" s="113"/>
      <c r="G139" s="112"/>
      <c r="H139" s="114"/>
    </row>
    <row r="140" spans="1:8">
      <c r="A140" s="113"/>
      <c r="B140" s="113"/>
      <c r="C140" s="113"/>
      <c r="D140" s="112"/>
      <c r="E140" s="112"/>
      <c r="F140" s="113"/>
      <c r="G140" s="112"/>
      <c r="H140" s="114"/>
    </row>
    <row r="141" spans="1:8">
      <c r="A141" s="113"/>
      <c r="B141" s="113"/>
      <c r="C141" s="113"/>
      <c r="D141" s="112"/>
      <c r="E141" s="112"/>
      <c r="F141" s="113"/>
      <c r="G141" s="112"/>
      <c r="H141" s="114"/>
    </row>
    <row r="142" spans="1:8">
      <c r="A142" s="113"/>
      <c r="B142" s="113"/>
      <c r="C142" s="113"/>
      <c r="D142" s="112"/>
      <c r="E142" s="112"/>
      <c r="F142" s="113"/>
      <c r="G142" s="112"/>
      <c r="H142" s="114"/>
    </row>
    <row r="143" spans="1:8">
      <c r="A143" s="113"/>
      <c r="B143" s="113"/>
      <c r="C143" s="113"/>
      <c r="D143" s="112"/>
      <c r="E143" s="112"/>
      <c r="F143" s="113"/>
      <c r="G143" s="112"/>
      <c r="H143" s="114"/>
    </row>
    <row r="144" spans="1:8">
      <c r="A144" s="113"/>
      <c r="B144" s="113"/>
      <c r="C144" s="113"/>
      <c r="D144" s="112"/>
      <c r="E144" s="112"/>
      <c r="F144" s="113"/>
      <c r="G144" s="112"/>
      <c r="H144" s="114"/>
    </row>
    <row r="145" spans="1:8">
      <c r="A145" s="113"/>
      <c r="B145" s="113"/>
      <c r="C145" s="113"/>
      <c r="D145" s="112"/>
      <c r="E145" s="112"/>
      <c r="F145" s="113"/>
      <c r="G145" s="112"/>
      <c r="H145" s="114"/>
    </row>
    <row r="146" spans="1:8">
      <c r="A146" s="113"/>
      <c r="B146" s="113"/>
      <c r="C146" s="113"/>
      <c r="D146" s="112"/>
      <c r="E146" s="112"/>
      <c r="F146" s="113"/>
      <c r="G146" s="112"/>
      <c r="H146" s="114"/>
    </row>
    <row r="147" spans="1:8">
      <c r="A147" s="113"/>
      <c r="B147" s="113"/>
      <c r="C147" s="113"/>
      <c r="D147" s="112"/>
      <c r="E147" s="112"/>
      <c r="F147" s="113"/>
      <c r="G147" s="112"/>
      <c r="H147" s="114"/>
    </row>
    <row r="148" spans="1:8">
      <c r="A148" s="113"/>
      <c r="B148" s="113"/>
      <c r="C148" s="113"/>
      <c r="D148" s="112"/>
      <c r="E148" s="112"/>
      <c r="F148" s="113"/>
      <c r="G148" s="112"/>
      <c r="H148" s="114"/>
    </row>
    <row r="149" spans="1:8">
      <c r="A149" s="113"/>
      <c r="B149" s="113"/>
      <c r="C149" s="113"/>
      <c r="D149" s="112"/>
      <c r="E149" s="112"/>
      <c r="F149" s="113"/>
      <c r="G149" s="112"/>
      <c r="H149" s="114"/>
    </row>
    <row r="150" spans="1:8">
      <c r="A150" s="113"/>
      <c r="B150" s="113"/>
      <c r="C150" s="113"/>
      <c r="D150" s="112"/>
      <c r="E150" s="112"/>
      <c r="F150" s="113"/>
      <c r="G150" s="112"/>
      <c r="H150" s="114"/>
    </row>
    <row r="151" spans="1:8">
      <c r="A151" s="113"/>
      <c r="B151" s="113"/>
      <c r="C151" s="113"/>
      <c r="D151" s="112"/>
      <c r="E151" s="112"/>
      <c r="F151" s="113"/>
      <c r="G151" s="112"/>
      <c r="H151" s="114"/>
    </row>
    <row r="152" spans="1:8">
      <c r="A152" s="113"/>
      <c r="B152" s="113"/>
      <c r="C152" s="113"/>
      <c r="D152" s="112"/>
      <c r="E152" s="112"/>
      <c r="F152" s="113"/>
      <c r="G152" s="112"/>
      <c r="H152" s="114"/>
    </row>
    <row r="153" spans="1:8">
      <c r="A153" s="113"/>
      <c r="B153" s="113"/>
      <c r="C153" s="113"/>
      <c r="D153" s="112"/>
      <c r="E153" s="112"/>
      <c r="F153" s="113"/>
      <c r="G153" s="112"/>
      <c r="H153" s="114"/>
    </row>
    <row r="154" spans="1:8">
      <c r="A154" s="113"/>
      <c r="B154" s="113"/>
      <c r="C154" s="113"/>
      <c r="D154" s="112"/>
      <c r="E154" s="112"/>
      <c r="F154" s="113"/>
      <c r="G154" s="112"/>
      <c r="H154" s="114"/>
    </row>
    <row r="155" spans="1:8">
      <c r="A155" s="113"/>
      <c r="B155" s="113"/>
      <c r="C155" s="113"/>
      <c r="D155" s="112"/>
      <c r="E155" s="112"/>
      <c r="F155" s="113"/>
      <c r="G155" s="112"/>
      <c r="H155" s="114"/>
    </row>
    <row r="156" spans="1:8">
      <c r="A156" s="113"/>
      <c r="B156" s="113"/>
      <c r="C156" s="113"/>
      <c r="D156" s="112"/>
      <c r="E156" s="112"/>
      <c r="F156" s="113"/>
      <c r="G156" s="112"/>
      <c r="H156" s="114"/>
    </row>
    <row r="157" spans="1:8">
      <c r="A157" s="113"/>
      <c r="B157" s="113"/>
      <c r="C157" s="113"/>
      <c r="D157" s="112"/>
      <c r="E157" s="112"/>
      <c r="F157" s="113"/>
      <c r="G157" s="112"/>
      <c r="H157" s="114"/>
    </row>
    <row r="158" spans="1:8">
      <c r="A158" s="113"/>
      <c r="B158" s="113"/>
      <c r="C158" s="113"/>
      <c r="D158" s="112"/>
      <c r="E158" s="112"/>
      <c r="F158" s="113"/>
      <c r="G158" s="112"/>
      <c r="H158" s="114"/>
    </row>
    <row r="159" spans="1:8">
      <c r="A159" s="113"/>
      <c r="B159" s="113"/>
      <c r="C159" s="113"/>
      <c r="D159" s="112"/>
      <c r="E159" s="112"/>
      <c r="F159" s="113"/>
      <c r="G159" s="112"/>
      <c r="H159" s="114"/>
    </row>
    <row r="160" spans="1:8">
      <c r="A160" s="113"/>
      <c r="B160" s="113"/>
      <c r="C160" s="113"/>
      <c r="D160" s="112"/>
      <c r="E160" s="112"/>
      <c r="F160" s="113"/>
      <c r="G160" s="112"/>
      <c r="H160" s="114"/>
    </row>
    <row r="161" spans="1:8">
      <c r="A161" s="113"/>
      <c r="B161" s="113"/>
      <c r="C161" s="113"/>
      <c r="D161" s="112"/>
      <c r="E161" s="112"/>
      <c r="F161" s="113"/>
      <c r="G161" s="112"/>
      <c r="H161" s="114"/>
    </row>
    <row r="162" spans="1:8">
      <c r="A162" s="113"/>
      <c r="B162" s="113"/>
      <c r="C162" s="113"/>
      <c r="D162" s="112"/>
      <c r="E162" s="112"/>
      <c r="F162" s="113"/>
      <c r="G162" s="112"/>
      <c r="H162" s="114"/>
    </row>
    <row r="163" spans="1:8">
      <c r="A163" s="113"/>
      <c r="B163" s="113"/>
      <c r="C163" s="113"/>
      <c r="D163" s="112"/>
      <c r="E163" s="112"/>
      <c r="F163" s="113"/>
      <c r="G163" s="112"/>
      <c r="H163" s="114"/>
    </row>
    <row r="164" spans="1:8">
      <c r="A164" s="113"/>
      <c r="B164" s="113"/>
      <c r="C164" s="113"/>
      <c r="D164" s="112"/>
      <c r="E164" s="112"/>
      <c r="F164" s="113"/>
      <c r="G164" s="112"/>
      <c r="H164" s="114"/>
    </row>
    <row r="165" spans="1:8">
      <c r="A165" s="113"/>
      <c r="B165" s="113"/>
      <c r="C165" s="113"/>
      <c r="D165" s="112"/>
      <c r="E165" s="112"/>
      <c r="F165" s="113"/>
      <c r="G165" s="112"/>
      <c r="H165" s="114"/>
    </row>
    <row r="166" spans="1:8">
      <c r="A166" s="113"/>
      <c r="B166" s="113"/>
      <c r="C166" s="113"/>
      <c r="D166" s="112"/>
      <c r="E166" s="112"/>
      <c r="F166" s="113"/>
      <c r="G166" s="112"/>
      <c r="H166" s="114"/>
    </row>
    <row r="167" spans="1:8">
      <c r="A167" s="113"/>
      <c r="B167" s="113"/>
      <c r="C167" s="113"/>
      <c r="D167" s="112"/>
      <c r="E167" s="112"/>
      <c r="F167" s="113"/>
      <c r="G167" s="112"/>
      <c r="H167" s="114"/>
    </row>
    <row r="168" spans="1:8">
      <c r="A168" s="113"/>
      <c r="B168" s="113"/>
      <c r="C168" s="113"/>
      <c r="D168" s="112"/>
      <c r="E168" s="112"/>
      <c r="F168" s="113"/>
      <c r="G168" s="112"/>
      <c r="H168" s="114"/>
    </row>
    <row r="169" spans="1:8">
      <c r="A169" s="113"/>
      <c r="B169" s="113"/>
      <c r="C169" s="113"/>
      <c r="D169" s="112"/>
      <c r="E169" s="112"/>
      <c r="F169" s="113"/>
      <c r="G169" s="112"/>
      <c r="H169" s="114"/>
    </row>
    <row r="170" spans="1:8">
      <c r="A170" s="113"/>
      <c r="B170" s="113"/>
      <c r="C170" s="113"/>
      <c r="D170" s="112"/>
      <c r="E170" s="112"/>
      <c r="F170" s="113"/>
      <c r="G170" s="112"/>
      <c r="H170" s="114"/>
    </row>
    <row r="171" spans="1:8">
      <c r="A171" s="113"/>
      <c r="B171" s="113"/>
      <c r="C171" s="113"/>
      <c r="D171" s="112"/>
      <c r="E171" s="112"/>
      <c r="F171" s="113"/>
      <c r="G171" s="112"/>
      <c r="H171" s="114"/>
    </row>
    <row r="172" spans="1:8">
      <c r="A172" s="113"/>
      <c r="B172" s="113"/>
      <c r="C172" s="113"/>
      <c r="D172" s="112"/>
      <c r="E172" s="112"/>
      <c r="F172" s="113"/>
      <c r="G172" s="112"/>
      <c r="H172" s="114"/>
    </row>
    <row r="173" spans="1:8">
      <c r="A173" s="113"/>
      <c r="B173" s="113"/>
      <c r="C173" s="113"/>
      <c r="D173" s="112"/>
      <c r="E173" s="112"/>
      <c r="F173" s="113"/>
      <c r="G173" s="112"/>
      <c r="H173" s="114"/>
    </row>
    <row r="174" spans="1:8">
      <c r="A174" s="113"/>
      <c r="B174" s="113"/>
      <c r="C174" s="113"/>
      <c r="D174" s="112"/>
      <c r="E174" s="112"/>
      <c r="F174" s="113"/>
      <c r="G174" s="112"/>
      <c r="H174" s="114"/>
    </row>
    <row r="175" spans="1:8">
      <c r="A175" s="113"/>
      <c r="B175" s="113"/>
      <c r="C175" s="113"/>
      <c r="D175" s="112"/>
      <c r="E175" s="112"/>
      <c r="F175" s="113"/>
      <c r="G175" s="112"/>
      <c r="H175" s="114"/>
    </row>
    <row r="176" spans="1:8">
      <c r="A176" s="113"/>
      <c r="B176" s="113"/>
      <c r="C176" s="113"/>
      <c r="D176" s="112"/>
      <c r="E176" s="112"/>
      <c r="F176" s="113"/>
      <c r="G176" s="112"/>
      <c r="H176" s="114"/>
    </row>
    <row r="177" spans="1:8">
      <c r="A177" s="113"/>
      <c r="B177" s="113"/>
      <c r="C177" s="113"/>
      <c r="D177" s="112"/>
      <c r="E177" s="112"/>
      <c r="F177" s="113"/>
      <c r="G177" s="112"/>
      <c r="H177" s="114"/>
    </row>
    <row r="178" spans="1:8">
      <c r="A178" s="113"/>
      <c r="B178" s="113"/>
      <c r="C178" s="113"/>
      <c r="D178" s="112"/>
      <c r="E178" s="112"/>
      <c r="F178" s="113"/>
      <c r="G178" s="112"/>
      <c r="H178" s="114"/>
    </row>
    <row r="179" spans="1:8">
      <c r="A179" s="113"/>
      <c r="B179" s="113"/>
      <c r="C179" s="113"/>
      <c r="D179" s="112"/>
      <c r="E179" s="112"/>
      <c r="F179" s="113"/>
      <c r="G179" s="112"/>
      <c r="H179" s="114"/>
    </row>
    <row r="180" spans="1:8">
      <c r="A180" s="113"/>
      <c r="B180" s="113"/>
      <c r="C180" s="113"/>
      <c r="D180" s="112"/>
      <c r="E180" s="112"/>
      <c r="F180" s="113"/>
      <c r="G180" s="112"/>
      <c r="H180" s="114"/>
    </row>
    <row r="181" spans="1:8">
      <c r="A181" s="113"/>
      <c r="B181" s="113"/>
      <c r="C181" s="113"/>
      <c r="D181" s="112"/>
      <c r="E181" s="112"/>
      <c r="F181" s="113"/>
      <c r="G181" s="112"/>
      <c r="H181" s="114"/>
    </row>
    <row r="182" spans="1:8">
      <c r="A182" s="113"/>
      <c r="B182" s="113"/>
      <c r="C182" s="113"/>
      <c r="D182" s="112"/>
      <c r="E182" s="112"/>
      <c r="F182" s="113"/>
      <c r="G182" s="112"/>
      <c r="H182" s="114"/>
    </row>
    <row r="183" spans="1:8">
      <c r="A183" s="113"/>
      <c r="B183" s="113"/>
      <c r="C183" s="113"/>
      <c r="D183" s="112"/>
      <c r="E183" s="112"/>
      <c r="F183" s="113"/>
      <c r="G183" s="112"/>
      <c r="H183" s="114"/>
    </row>
    <row r="184" spans="1:8">
      <c r="A184" s="113"/>
      <c r="B184" s="113"/>
      <c r="C184" s="113"/>
      <c r="D184" s="112"/>
      <c r="E184" s="112"/>
      <c r="F184" s="113"/>
      <c r="G184" s="112"/>
      <c r="H184" s="114"/>
    </row>
    <row r="185" spans="1:8">
      <c r="A185" s="113"/>
      <c r="B185" s="113"/>
      <c r="C185" s="113"/>
      <c r="D185" s="112"/>
      <c r="E185" s="112"/>
      <c r="F185" s="113"/>
      <c r="G185" s="112"/>
      <c r="H185" s="114"/>
    </row>
    <row r="186" spans="1:8">
      <c r="A186" s="113"/>
      <c r="B186" s="113"/>
      <c r="C186" s="113"/>
      <c r="D186" s="112"/>
      <c r="E186" s="112"/>
      <c r="F186" s="113"/>
      <c r="G186" s="112"/>
      <c r="H186" s="114"/>
    </row>
    <row r="187" spans="1:8">
      <c r="A187" s="113"/>
      <c r="B187" s="113"/>
      <c r="C187" s="113"/>
      <c r="D187" s="112"/>
      <c r="E187" s="112"/>
      <c r="F187" s="113"/>
      <c r="G187" s="112"/>
      <c r="H187" s="114"/>
    </row>
    <row r="188" spans="1:8">
      <c r="A188" s="113"/>
      <c r="B188" s="113"/>
      <c r="C188" s="113"/>
      <c r="D188" s="112"/>
      <c r="E188" s="112"/>
      <c r="F188" s="113"/>
      <c r="G188" s="112"/>
      <c r="H188" s="114"/>
    </row>
    <row r="189" spans="1:8">
      <c r="A189" s="113"/>
      <c r="B189" s="113"/>
      <c r="C189" s="113"/>
      <c r="D189" s="112"/>
      <c r="E189" s="112"/>
      <c r="F189" s="113"/>
      <c r="G189" s="112"/>
      <c r="H189" s="114"/>
    </row>
    <row r="190" spans="1:8">
      <c r="A190" s="113"/>
      <c r="B190" s="113"/>
      <c r="C190" s="113"/>
      <c r="D190" s="112"/>
      <c r="E190" s="112"/>
      <c r="F190" s="113"/>
      <c r="G190" s="112"/>
      <c r="H190" s="114"/>
    </row>
    <row r="191" spans="1:8">
      <c r="A191" s="113"/>
      <c r="B191" s="113"/>
      <c r="C191" s="113"/>
      <c r="D191" s="112"/>
      <c r="E191" s="112"/>
      <c r="F191" s="113"/>
      <c r="G191" s="112"/>
      <c r="H191" s="114"/>
    </row>
    <row r="192" spans="1:8">
      <c r="A192" s="113"/>
      <c r="B192" s="113"/>
      <c r="C192" s="113"/>
      <c r="D192" s="112"/>
      <c r="E192" s="112"/>
      <c r="F192" s="113"/>
      <c r="G192" s="112"/>
      <c r="H192" s="114"/>
    </row>
    <row r="193" spans="1:8">
      <c r="A193" s="113"/>
      <c r="B193" s="113"/>
      <c r="C193" s="113"/>
      <c r="D193" s="112"/>
      <c r="E193" s="112"/>
      <c r="F193" s="113"/>
      <c r="G193" s="112"/>
      <c r="H193" s="114"/>
    </row>
    <row r="194" spans="1:8">
      <c r="A194" s="113"/>
      <c r="B194" s="113"/>
      <c r="C194" s="113"/>
      <c r="D194" s="112"/>
      <c r="E194" s="112"/>
      <c r="F194" s="113"/>
      <c r="G194" s="112"/>
      <c r="H194" s="114"/>
    </row>
    <row r="195" spans="1:8">
      <c r="A195" s="113"/>
      <c r="B195" s="113"/>
      <c r="C195" s="113"/>
      <c r="D195" s="112"/>
      <c r="E195" s="112"/>
      <c r="F195" s="113"/>
      <c r="G195" s="112"/>
      <c r="H195" s="114"/>
    </row>
    <row r="196" spans="1:8">
      <c r="A196" s="113"/>
      <c r="B196" s="113"/>
      <c r="C196" s="113"/>
      <c r="D196" s="112"/>
      <c r="E196" s="112"/>
      <c r="F196" s="113"/>
      <c r="G196" s="112"/>
      <c r="H196" s="114"/>
    </row>
    <row r="197" spans="1:8">
      <c r="A197" s="113"/>
      <c r="B197" s="113"/>
      <c r="C197" s="113"/>
      <c r="D197" s="112"/>
      <c r="E197" s="112"/>
      <c r="F197" s="113"/>
      <c r="G197" s="112"/>
      <c r="H197" s="114"/>
    </row>
    <row r="198" spans="1:8">
      <c r="A198" s="113"/>
      <c r="B198" s="113"/>
      <c r="C198" s="113"/>
      <c r="D198" s="112"/>
      <c r="E198" s="112"/>
      <c r="F198" s="113"/>
      <c r="G198" s="112"/>
      <c r="H198" s="114"/>
    </row>
    <row r="199" spans="1:8">
      <c r="A199" s="113"/>
      <c r="B199" s="113"/>
      <c r="C199" s="113"/>
      <c r="D199" s="112"/>
      <c r="E199" s="112"/>
      <c r="F199" s="113"/>
      <c r="G199" s="112"/>
      <c r="H199" s="114"/>
    </row>
    <row r="200" spans="1:8">
      <c r="A200" s="113"/>
      <c r="B200" s="113"/>
      <c r="C200" s="113"/>
      <c r="D200" s="112"/>
      <c r="E200" s="112"/>
      <c r="F200" s="113"/>
      <c r="G200" s="112"/>
      <c r="H200" s="114"/>
    </row>
    <row r="201" spans="1:8">
      <c r="A201" s="134"/>
      <c r="B201" s="134"/>
      <c r="C201" s="134"/>
      <c r="D201" s="112"/>
      <c r="E201" s="112"/>
      <c r="F201" s="113"/>
      <c r="G201" s="112"/>
      <c r="H201" s="114"/>
    </row>
    <row r="202" spans="1:8">
      <c r="A202" s="134"/>
      <c r="B202" s="134"/>
      <c r="C202" s="134"/>
      <c r="D202" s="112"/>
      <c r="E202" s="112"/>
      <c r="F202" s="113"/>
      <c r="G202" s="112"/>
      <c r="H202" s="114"/>
    </row>
    <row r="203" spans="1:8">
      <c r="A203" s="134"/>
      <c r="B203" s="134"/>
      <c r="C203" s="134"/>
      <c r="D203" s="112"/>
      <c r="E203" s="112"/>
      <c r="F203" s="113"/>
      <c r="G203" s="112"/>
      <c r="H203" s="114"/>
    </row>
    <row r="204" spans="1:8">
      <c r="A204" s="134"/>
      <c r="B204" s="134"/>
      <c r="C204" s="134"/>
      <c r="D204" s="112"/>
      <c r="E204" s="112"/>
      <c r="F204" s="113"/>
      <c r="G204" s="112"/>
      <c r="H204" s="114"/>
    </row>
    <row r="205" spans="1:8">
      <c r="A205" s="134"/>
      <c r="B205" s="134"/>
      <c r="C205" s="134"/>
      <c r="D205" s="112"/>
      <c r="E205" s="112"/>
      <c r="F205" s="113"/>
      <c r="G205" s="112"/>
      <c r="H205" s="114"/>
    </row>
    <row r="206" spans="1:8">
      <c r="A206" s="134"/>
      <c r="B206" s="134"/>
      <c r="C206" s="134"/>
      <c r="D206" s="112"/>
      <c r="E206" s="112"/>
      <c r="F206" s="113"/>
      <c r="G206" s="112"/>
      <c r="H206" s="114"/>
    </row>
    <row r="207" spans="1:8">
      <c r="A207" s="134"/>
      <c r="B207" s="134"/>
      <c r="C207" s="134"/>
      <c r="D207" s="112"/>
      <c r="E207" s="112"/>
      <c r="F207" s="113"/>
      <c r="G207" s="112"/>
      <c r="H207" s="114"/>
    </row>
    <row r="208" spans="1:8">
      <c r="A208" s="134"/>
      <c r="B208" s="134"/>
      <c r="C208" s="134"/>
      <c r="D208" s="112"/>
      <c r="E208" s="112"/>
      <c r="F208" s="113"/>
      <c r="G208" s="112"/>
      <c r="H208" s="114"/>
    </row>
    <row r="209" spans="1:8">
      <c r="A209" s="134"/>
      <c r="B209" s="134"/>
      <c r="C209" s="134"/>
      <c r="D209" s="112"/>
      <c r="E209" s="112"/>
      <c r="F209" s="113"/>
      <c r="G209" s="112"/>
      <c r="H209" s="114"/>
    </row>
    <row r="210" spans="1:8">
      <c r="A210" s="134"/>
      <c r="B210" s="134"/>
      <c r="C210" s="134"/>
      <c r="D210" s="112"/>
      <c r="E210" s="112"/>
      <c r="F210" s="113"/>
      <c r="G210" s="112"/>
      <c r="H210" s="114"/>
    </row>
    <row r="211" spans="1:8">
      <c r="A211" s="134"/>
      <c r="B211" s="134"/>
      <c r="C211" s="134"/>
      <c r="D211" s="112"/>
      <c r="E211" s="112"/>
      <c r="F211" s="113"/>
      <c r="G211" s="112"/>
      <c r="H211" s="114"/>
    </row>
    <row r="212" spans="1:8">
      <c r="A212" s="134"/>
      <c r="B212" s="134"/>
      <c r="C212" s="134"/>
      <c r="D212" s="112"/>
      <c r="E212" s="112"/>
      <c r="F212" s="113"/>
      <c r="G212" s="112"/>
      <c r="H212" s="114"/>
    </row>
    <row r="213" spans="1:8">
      <c r="A213" s="134"/>
      <c r="B213" s="134"/>
      <c r="C213" s="134"/>
      <c r="D213" s="112"/>
      <c r="E213" s="112"/>
      <c r="F213" s="113"/>
      <c r="G213" s="112"/>
      <c r="H213" s="114"/>
    </row>
    <row r="214" spans="1:8">
      <c r="A214" s="134"/>
      <c r="B214" s="134"/>
      <c r="C214" s="134"/>
      <c r="D214" s="112"/>
      <c r="E214" s="112"/>
      <c r="F214" s="113"/>
      <c r="G214" s="112"/>
      <c r="H214" s="114"/>
    </row>
    <row r="215" spans="1:8">
      <c r="A215" s="134"/>
      <c r="B215" s="134"/>
      <c r="C215" s="134"/>
      <c r="D215" s="112"/>
      <c r="E215" s="112"/>
      <c r="F215" s="113"/>
      <c r="G215" s="112"/>
      <c r="H215" s="114"/>
    </row>
    <row r="216" spans="1:8">
      <c r="A216" s="134"/>
      <c r="B216" s="134"/>
      <c r="C216" s="134"/>
      <c r="D216" s="112"/>
      <c r="E216" s="112"/>
      <c r="F216" s="113"/>
      <c r="G216" s="112"/>
      <c r="H216" s="114"/>
    </row>
    <row r="217" spans="1:8">
      <c r="A217" s="134"/>
      <c r="B217" s="134"/>
      <c r="C217" s="134"/>
      <c r="D217" s="112"/>
      <c r="E217" s="112"/>
      <c r="F217" s="113"/>
      <c r="G217" s="112"/>
      <c r="H217" s="114"/>
    </row>
    <row r="218" spans="1:8">
      <c r="A218" s="134"/>
      <c r="B218" s="134"/>
      <c r="C218" s="134"/>
      <c r="D218" s="112"/>
      <c r="E218" s="112"/>
      <c r="F218" s="113"/>
      <c r="G218" s="112"/>
      <c r="H218" s="114"/>
    </row>
    <row r="219" spans="1:8">
      <c r="A219" s="134"/>
      <c r="B219" s="134"/>
      <c r="C219" s="134"/>
      <c r="D219" s="112"/>
      <c r="E219" s="112"/>
      <c r="F219" s="113"/>
      <c r="G219" s="112"/>
      <c r="H219" s="114"/>
    </row>
    <row r="220" spans="1:8">
      <c r="A220" s="134"/>
      <c r="B220" s="134"/>
      <c r="C220" s="134"/>
      <c r="D220" s="112"/>
      <c r="E220" s="112"/>
      <c r="F220" s="113"/>
      <c r="G220" s="112"/>
      <c r="H220" s="114"/>
    </row>
    <row r="221" spans="1:8">
      <c r="A221" s="134"/>
      <c r="B221" s="134"/>
      <c r="C221" s="134"/>
      <c r="D221" s="112"/>
      <c r="E221" s="112"/>
      <c r="F221" s="113"/>
      <c r="G221" s="112"/>
      <c r="H221" s="114"/>
    </row>
    <row r="222" spans="1:8">
      <c r="A222" s="134"/>
      <c r="B222" s="134"/>
      <c r="C222" s="134"/>
      <c r="D222" s="112"/>
      <c r="E222" s="112"/>
      <c r="F222" s="113"/>
      <c r="G222" s="112"/>
      <c r="H222" s="114"/>
    </row>
    <row r="223" spans="1:8">
      <c r="A223" s="134"/>
      <c r="B223" s="134"/>
      <c r="C223" s="134"/>
      <c r="D223" s="112"/>
      <c r="E223" s="112"/>
      <c r="F223" s="113"/>
      <c r="G223" s="112"/>
      <c r="H223" s="114"/>
    </row>
    <row r="224" spans="1:8">
      <c r="A224" s="134"/>
      <c r="B224" s="134"/>
      <c r="C224" s="134"/>
      <c r="D224" s="112"/>
      <c r="E224" s="112"/>
      <c r="F224" s="113"/>
      <c r="G224" s="112"/>
      <c r="H224" s="114"/>
    </row>
    <row r="225" spans="1:8">
      <c r="A225" s="134"/>
      <c r="B225" s="134"/>
      <c r="C225" s="134"/>
      <c r="D225" s="112"/>
      <c r="E225" s="112"/>
      <c r="F225" s="113"/>
      <c r="G225" s="112"/>
      <c r="H225" s="114"/>
    </row>
    <row r="226" spans="1:8">
      <c r="A226" s="134"/>
      <c r="B226" s="134"/>
      <c r="C226" s="134"/>
      <c r="D226" s="112"/>
      <c r="E226" s="112"/>
      <c r="F226" s="113"/>
      <c r="G226" s="112"/>
      <c r="H226" s="114"/>
    </row>
    <row r="227" spans="1:8">
      <c r="A227" s="134"/>
      <c r="B227" s="134"/>
      <c r="C227" s="134"/>
      <c r="D227" s="112"/>
      <c r="E227" s="112"/>
      <c r="F227" s="113"/>
      <c r="G227" s="112"/>
      <c r="H227" s="114"/>
    </row>
    <row r="228" spans="1:8">
      <c r="A228" s="134"/>
      <c r="B228" s="134"/>
      <c r="C228" s="134"/>
      <c r="D228" s="112"/>
      <c r="E228" s="112"/>
      <c r="F228" s="113"/>
      <c r="G228" s="112"/>
      <c r="H228" s="114"/>
    </row>
    <row r="229" spans="1:8">
      <c r="A229" s="134"/>
      <c r="B229" s="134"/>
      <c r="C229" s="134"/>
      <c r="D229" s="112"/>
      <c r="E229" s="112"/>
      <c r="F229" s="113"/>
      <c r="G229" s="112"/>
      <c r="H229" s="114"/>
    </row>
    <row r="230" spans="1:8">
      <c r="A230" s="134"/>
      <c r="B230" s="134"/>
      <c r="C230" s="134"/>
      <c r="D230" s="112"/>
      <c r="E230" s="112"/>
      <c r="F230" s="113"/>
      <c r="G230" s="112"/>
      <c r="H230" s="114"/>
    </row>
    <row r="231" spans="1:8">
      <c r="A231" s="134"/>
      <c r="B231" s="134"/>
      <c r="C231" s="134"/>
      <c r="D231" s="112"/>
      <c r="E231" s="112"/>
      <c r="F231" s="113"/>
      <c r="G231" s="112"/>
      <c r="H231" s="114"/>
    </row>
    <row r="232" spans="1:8">
      <c r="A232" s="134"/>
      <c r="B232" s="134"/>
      <c r="C232" s="134"/>
      <c r="D232" s="112"/>
      <c r="E232" s="112"/>
      <c r="F232" s="113"/>
      <c r="G232" s="112"/>
      <c r="H232" s="114"/>
    </row>
    <row r="233" spans="1:8">
      <c r="A233" s="134"/>
      <c r="B233" s="134"/>
      <c r="C233" s="134"/>
      <c r="D233" s="112"/>
      <c r="E233" s="112"/>
      <c r="F233" s="113"/>
      <c r="G233" s="112"/>
      <c r="H233" s="114"/>
    </row>
    <row r="234" spans="1:8">
      <c r="A234" s="134"/>
      <c r="B234" s="134"/>
      <c r="C234" s="134"/>
      <c r="D234" s="112"/>
      <c r="E234" s="112"/>
      <c r="F234" s="113"/>
      <c r="G234" s="112"/>
      <c r="H234" s="114"/>
    </row>
    <row r="235" spans="1:8">
      <c r="A235" s="134"/>
      <c r="B235" s="134"/>
      <c r="C235" s="134"/>
      <c r="D235" s="112"/>
      <c r="E235" s="112"/>
      <c r="F235" s="113"/>
      <c r="G235" s="112"/>
      <c r="H235" s="114"/>
    </row>
    <row r="236" spans="1:8">
      <c r="A236" s="134"/>
      <c r="B236" s="134"/>
      <c r="C236" s="134"/>
      <c r="D236" s="112"/>
      <c r="E236" s="112"/>
      <c r="F236" s="113"/>
      <c r="G236" s="112"/>
      <c r="H236" s="114"/>
    </row>
    <row r="237" spans="1:8">
      <c r="A237" s="134"/>
      <c r="B237" s="134"/>
      <c r="C237" s="134"/>
      <c r="D237" s="112"/>
      <c r="E237" s="112"/>
      <c r="F237" s="113"/>
      <c r="G237" s="112"/>
      <c r="H237" s="114"/>
    </row>
    <row r="238" spans="1:8">
      <c r="A238" s="134"/>
      <c r="B238" s="134"/>
      <c r="C238" s="134"/>
      <c r="D238" s="112"/>
      <c r="E238" s="112"/>
      <c r="F238" s="113"/>
      <c r="G238" s="112"/>
      <c r="H238" s="114"/>
    </row>
    <row r="239" spans="1:8">
      <c r="A239" s="134"/>
      <c r="B239" s="134"/>
      <c r="C239" s="134"/>
      <c r="D239" s="112"/>
      <c r="E239" s="112"/>
      <c r="F239" s="113"/>
      <c r="G239" s="112"/>
      <c r="H239" s="114"/>
    </row>
    <row r="240" spans="1:8">
      <c r="A240" s="134"/>
      <c r="B240" s="134"/>
      <c r="C240" s="134"/>
      <c r="D240" s="112"/>
      <c r="E240" s="112"/>
      <c r="F240" s="113"/>
      <c r="G240" s="112"/>
      <c r="H240" s="114"/>
    </row>
    <row r="241" spans="1:8">
      <c r="A241" s="134"/>
      <c r="B241" s="134"/>
      <c r="C241" s="134"/>
      <c r="D241" s="112"/>
      <c r="E241" s="112"/>
      <c r="F241" s="113"/>
      <c r="G241" s="112"/>
      <c r="H241" s="114"/>
    </row>
    <row r="242" spans="1:8">
      <c r="A242" s="134"/>
      <c r="B242" s="134"/>
      <c r="C242" s="134"/>
      <c r="D242" s="112"/>
      <c r="E242" s="112"/>
      <c r="F242" s="113"/>
      <c r="G242" s="112"/>
      <c r="H242" s="114"/>
    </row>
    <row r="243" spans="1:8">
      <c r="A243" s="134"/>
      <c r="B243" s="134"/>
      <c r="C243" s="134"/>
      <c r="D243" s="112"/>
      <c r="E243" s="112"/>
      <c r="F243" s="113"/>
      <c r="G243" s="112"/>
      <c r="H243" s="114"/>
    </row>
    <row r="244" spans="1:8">
      <c r="A244" s="134"/>
      <c r="B244" s="134"/>
      <c r="C244" s="134"/>
      <c r="D244" s="112"/>
      <c r="E244" s="112"/>
      <c r="F244" s="113"/>
      <c r="G244" s="112"/>
      <c r="H244" s="114"/>
    </row>
    <row r="245" spans="1:8">
      <c r="A245" s="134"/>
      <c r="B245" s="134"/>
      <c r="C245" s="134"/>
      <c r="D245" s="112"/>
      <c r="E245" s="112"/>
      <c r="F245" s="113"/>
      <c r="G245" s="112"/>
      <c r="H245" s="114"/>
    </row>
    <row r="246" spans="1:8">
      <c r="A246" s="134"/>
      <c r="B246" s="134"/>
      <c r="C246" s="134"/>
      <c r="D246" s="112"/>
      <c r="E246" s="112"/>
      <c r="F246" s="113"/>
      <c r="G246" s="112"/>
      <c r="H246" s="114"/>
    </row>
    <row r="247" spans="1:8">
      <c r="A247" s="134"/>
      <c r="B247" s="134"/>
      <c r="C247" s="134"/>
      <c r="D247" s="112"/>
      <c r="E247" s="112"/>
      <c r="F247" s="113"/>
      <c r="G247" s="112"/>
      <c r="H247" s="114"/>
    </row>
    <row r="248" spans="1:8">
      <c r="A248" s="134"/>
      <c r="B248" s="134"/>
      <c r="C248" s="134"/>
      <c r="D248" s="112"/>
      <c r="E248" s="112"/>
      <c r="F248" s="113"/>
      <c r="G248" s="112"/>
      <c r="H248" s="114"/>
    </row>
    <row r="249" spans="1:8">
      <c r="A249" s="134"/>
      <c r="B249" s="134"/>
      <c r="C249" s="134"/>
      <c r="D249" s="112"/>
      <c r="E249" s="112"/>
      <c r="F249" s="113"/>
      <c r="G249" s="112"/>
      <c r="H249" s="114"/>
    </row>
    <row r="250" spans="1:8">
      <c r="A250" s="134"/>
      <c r="B250" s="134"/>
      <c r="C250" s="134"/>
      <c r="D250" s="112"/>
      <c r="E250" s="112"/>
      <c r="F250" s="113"/>
      <c r="G250" s="112"/>
      <c r="H250" s="114"/>
    </row>
    <row r="251" spans="1:8">
      <c r="A251" s="134"/>
      <c r="B251" s="134"/>
      <c r="C251" s="134"/>
      <c r="D251" s="112"/>
      <c r="E251" s="112"/>
      <c r="F251" s="113"/>
      <c r="G251" s="112"/>
      <c r="H251" s="114"/>
    </row>
    <row r="252" spans="1:8">
      <c r="A252" s="134"/>
      <c r="B252" s="134"/>
      <c r="C252" s="134"/>
      <c r="D252" s="112"/>
      <c r="E252" s="112"/>
      <c r="F252" s="113"/>
      <c r="G252" s="112"/>
      <c r="H252" s="114"/>
    </row>
    <row r="253" spans="1:8">
      <c r="A253" s="134"/>
      <c r="B253" s="134"/>
      <c r="C253" s="134"/>
      <c r="D253" s="112"/>
      <c r="E253" s="112"/>
      <c r="F253" s="113"/>
      <c r="G253" s="112"/>
      <c r="H253" s="114"/>
    </row>
    <row r="254" spans="1:8">
      <c r="A254" s="134"/>
      <c r="B254" s="134"/>
      <c r="C254" s="134"/>
      <c r="D254" s="112"/>
      <c r="E254" s="112"/>
      <c r="F254" s="113"/>
      <c r="G254" s="112"/>
      <c r="H254" s="114"/>
    </row>
    <row r="255" spans="1:8">
      <c r="A255" s="134"/>
      <c r="B255" s="134"/>
      <c r="C255" s="134"/>
      <c r="D255" s="112"/>
      <c r="E255" s="112"/>
      <c r="F255" s="113"/>
      <c r="G255" s="112"/>
      <c r="H255" s="114"/>
    </row>
    <row r="256" spans="1:8">
      <c r="A256" s="134"/>
      <c r="B256" s="134"/>
      <c r="C256" s="134"/>
      <c r="D256" s="112"/>
      <c r="E256" s="112"/>
      <c r="F256" s="113"/>
      <c r="G256" s="112"/>
      <c r="H256" s="114"/>
    </row>
    <row r="257" spans="1:8">
      <c r="A257" s="134"/>
      <c r="B257" s="134"/>
      <c r="C257" s="134"/>
      <c r="D257" s="112"/>
      <c r="E257" s="112"/>
      <c r="F257" s="113"/>
      <c r="G257" s="112"/>
      <c r="H257" s="114"/>
    </row>
    <row r="258" spans="1:8">
      <c r="A258" s="134"/>
      <c r="B258" s="134"/>
      <c r="C258" s="134"/>
      <c r="D258" s="112"/>
      <c r="E258" s="112"/>
      <c r="F258" s="113"/>
      <c r="G258" s="112"/>
      <c r="H258" s="114"/>
    </row>
    <row r="259" spans="1:8">
      <c r="A259" s="134"/>
      <c r="B259" s="134"/>
      <c r="C259" s="134"/>
      <c r="D259" s="112"/>
      <c r="E259" s="112"/>
      <c r="F259" s="113"/>
      <c r="G259" s="112"/>
      <c r="H259" s="114"/>
    </row>
    <row r="260" spans="1:8">
      <c r="A260" s="134"/>
      <c r="B260" s="134"/>
      <c r="C260" s="134"/>
      <c r="D260" s="112"/>
      <c r="E260" s="112"/>
      <c r="F260" s="113"/>
      <c r="G260" s="112"/>
      <c r="H260" s="114"/>
    </row>
    <row r="261" spans="1:8">
      <c r="A261" s="134"/>
      <c r="B261" s="134"/>
      <c r="C261" s="134"/>
      <c r="D261" s="112"/>
      <c r="E261" s="112"/>
      <c r="F261" s="113"/>
      <c r="G261" s="112"/>
      <c r="H261" s="114"/>
    </row>
    <row r="262" spans="1:8">
      <c r="A262" s="134"/>
      <c r="B262" s="134"/>
      <c r="C262" s="134"/>
      <c r="D262" s="112"/>
      <c r="E262" s="112"/>
      <c r="F262" s="113"/>
      <c r="G262" s="112"/>
      <c r="H262" s="114"/>
    </row>
    <row r="263" spans="1:8">
      <c r="A263" s="134"/>
      <c r="B263" s="134"/>
      <c r="C263" s="134"/>
      <c r="D263" s="112"/>
      <c r="E263" s="112"/>
      <c r="F263" s="113"/>
      <c r="G263" s="112"/>
      <c r="H263" s="114"/>
    </row>
    <row r="264" spans="1:8">
      <c r="A264" s="134"/>
      <c r="B264" s="134"/>
      <c r="C264" s="134"/>
      <c r="D264" s="112"/>
      <c r="E264" s="112"/>
      <c r="F264" s="113"/>
      <c r="G264" s="112"/>
      <c r="H264" s="114"/>
    </row>
    <row r="265" spans="1:8">
      <c r="A265" s="134"/>
      <c r="B265" s="134"/>
      <c r="C265" s="134"/>
      <c r="D265" s="112"/>
      <c r="E265" s="112"/>
      <c r="F265" s="113"/>
      <c r="G265" s="112"/>
      <c r="H265" s="114"/>
    </row>
    <row r="266" spans="1:8">
      <c r="A266" s="134"/>
      <c r="B266" s="134"/>
      <c r="C266" s="134"/>
      <c r="D266" s="112"/>
      <c r="E266" s="112"/>
      <c r="F266" s="113"/>
      <c r="G266" s="112"/>
      <c r="H266" s="114"/>
    </row>
    <row r="267" spans="1:8">
      <c r="A267" s="134"/>
      <c r="B267" s="134"/>
      <c r="C267" s="134"/>
      <c r="D267" s="112"/>
      <c r="E267" s="112"/>
      <c r="F267" s="113"/>
      <c r="G267" s="112"/>
      <c r="H267" s="114"/>
    </row>
    <row r="268" spans="1:8">
      <c r="A268" s="134"/>
      <c r="B268" s="134"/>
      <c r="C268" s="134"/>
      <c r="D268" s="112"/>
      <c r="E268" s="112"/>
      <c r="F268" s="113"/>
      <c r="G268" s="112"/>
      <c r="H268" s="114"/>
    </row>
    <row r="269" spans="1:8">
      <c r="A269" s="134"/>
      <c r="B269" s="134"/>
      <c r="C269" s="134"/>
      <c r="D269" s="112"/>
      <c r="E269" s="112"/>
      <c r="F269" s="113"/>
      <c r="G269" s="112"/>
      <c r="H269" s="114"/>
    </row>
    <row r="270" spans="1:8">
      <c r="A270" s="134"/>
      <c r="B270" s="134"/>
      <c r="C270" s="134"/>
      <c r="D270" s="112"/>
      <c r="E270" s="112"/>
      <c r="F270" s="113"/>
      <c r="G270" s="112"/>
      <c r="H270" s="114"/>
    </row>
    <row r="271" spans="1:8">
      <c r="A271" s="134"/>
      <c r="B271" s="134"/>
      <c r="C271" s="134"/>
      <c r="D271" s="112"/>
      <c r="E271" s="112"/>
      <c r="F271" s="113"/>
      <c r="G271" s="112"/>
      <c r="H271" s="114"/>
    </row>
    <row r="272" spans="1:8">
      <c r="A272" s="134"/>
      <c r="B272" s="134"/>
      <c r="C272" s="134"/>
      <c r="D272" s="112"/>
      <c r="E272" s="112"/>
      <c r="F272" s="113"/>
      <c r="G272" s="112"/>
      <c r="H272" s="114"/>
    </row>
    <row r="273" spans="1:8">
      <c r="A273" s="134"/>
      <c r="B273" s="134"/>
      <c r="C273" s="134"/>
      <c r="D273" s="112"/>
      <c r="E273" s="112"/>
      <c r="F273" s="113"/>
      <c r="G273" s="112"/>
      <c r="H273" s="114"/>
    </row>
    <row r="274" spans="1:8">
      <c r="A274" s="134"/>
      <c r="B274" s="134"/>
      <c r="C274" s="134"/>
      <c r="D274" s="112"/>
      <c r="E274" s="112"/>
      <c r="F274" s="113"/>
      <c r="G274" s="112"/>
      <c r="H274" s="114"/>
    </row>
    <row r="275" spans="1:8">
      <c r="A275" s="134"/>
      <c r="B275" s="134"/>
      <c r="C275" s="134"/>
      <c r="D275" s="112"/>
      <c r="E275" s="112"/>
      <c r="F275" s="113"/>
      <c r="G275" s="112"/>
      <c r="H275" s="114"/>
    </row>
    <row r="276" spans="1:8">
      <c r="A276" s="134"/>
      <c r="B276" s="134"/>
      <c r="C276" s="134"/>
      <c r="D276" s="112"/>
      <c r="E276" s="112"/>
      <c r="F276" s="113"/>
      <c r="G276" s="112"/>
      <c r="H276" s="114"/>
    </row>
    <row r="277" spans="1:8">
      <c r="A277" s="134"/>
      <c r="B277" s="134"/>
      <c r="C277" s="134"/>
      <c r="D277" s="112"/>
      <c r="E277" s="112"/>
      <c r="F277" s="113"/>
      <c r="G277" s="112"/>
      <c r="H277" s="114"/>
    </row>
    <row r="278" spans="1:8">
      <c r="A278" s="134"/>
      <c r="B278" s="134"/>
      <c r="C278" s="134"/>
      <c r="D278" s="112"/>
      <c r="E278" s="112"/>
      <c r="F278" s="113"/>
      <c r="G278" s="112"/>
      <c r="H278" s="114"/>
    </row>
    <row r="279" spans="1:8">
      <c r="A279" s="134"/>
      <c r="B279" s="134"/>
      <c r="C279" s="134"/>
      <c r="D279" s="112"/>
      <c r="E279" s="112"/>
      <c r="F279" s="113"/>
      <c r="G279" s="112"/>
      <c r="H279" s="114"/>
    </row>
    <row r="280" spans="1:8">
      <c r="A280" s="134"/>
      <c r="B280" s="134"/>
      <c r="C280" s="134"/>
      <c r="D280" s="112"/>
      <c r="E280" s="112"/>
      <c r="F280" s="113"/>
      <c r="G280" s="112"/>
      <c r="H280" s="114"/>
    </row>
    <row r="281" spans="1:8">
      <c r="A281" s="134"/>
      <c r="B281" s="134"/>
      <c r="C281" s="134"/>
      <c r="D281" s="112"/>
      <c r="E281" s="112"/>
      <c r="F281" s="113"/>
      <c r="G281" s="112"/>
      <c r="H281" s="114"/>
    </row>
    <row r="282" spans="1:8">
      <c r="A282" s="134"/>
      <c r="B282" s="134"/>
      <c r="C282" s="134"/>
      <c r="D282" s="112"/>
      <c r="E282" s="112"/>
      <c r="F282" s="113"/>
      <c r="G282" s="112"/>
      <c r="H282" s="114"/>
    </row>
    <row r="283" spans="1:8">
      <c r="A283" s="134"/>
      <c r="B283" s="134"/>
      <c r="C283" s="134"/>
      <c r="D283" s="112"/>
      <c r="E283" s="112"/>
      <c r="F283" s="113"/>
      <c r="G283" s="112"/>
      <c r="H283" s="114"/>
    </row>
    <row r="284" spans="1:8">
      <c r="A284" s="134"/>
      <c r="B284" s="134"/>
      <c r="C284" s="134"/>
      <c r="D284" s="112"/>
      <c r="E284" s="112"/>
      <c r="F284" s="113"/>
      <c r="G284" s="112"/>
      <c r="H284" s="114"/>
    </row>
    <row r="285" spans="1:8">
      <c r="A285" s="134"/>
      <c r="B285" s="134"/>
      <c r="C285" s="134"/>
      <c r="D285" s="112"/>
      <c r="E285" s="112"/>
      <c r="F285" s="113"/>
      <c r="G285" s="112"/>
      <c r="H285" s="114"/>
    </row>
    <row r="286" spans="1:8">
      <c r="A286" s="134"/>
      <c r="B286" s="134"/>
      <c r="C286" s="134"/>
      <c r="D286" s="112"/>
      <c r="E286" s="112"/>
      <c r="F286" s="113"/>
      <c r="G286" s="112"/>
      <c r="H286" s="114"/>
    </row>
    <row r="287" spans="1:8">
      <c r="A287" s="134"/>
      <c r="B287" s="134"/>
      <c r="C287" s="134"/>
      <c r="D287" s="112"/>
      <c r="E287" s="112"/>
      <c r="F287" s="113"/>
      <c r="G287" s="112"/>
      <c r="H287" s="114"/>
    </row>
    <row r="288" spans="1:8">
      <c r="A288" s="134"/>
      <c r="B288" s="134"/>
      <c r="C288" s="134"/>
      <c r="D288" s="112"/>
      <c r="E288" s="112"/>
      <c r="F288" s="113"/>
      <c r="G288" s="112"/>
      <c r="H288" s="114"/>
    </row>
    <row r="289" spans="1:8">
      <c r="A289" s="134"/>
      <c r="B289" s="134"/>
      <c r="C289" s="134"/>
      <c r="D289" s="112"/>
      <c r="E289" s="112"/>
      <c r="F289" s="113"/>
      <c r="G289" s="112"/>
      <c r="H289" s="114"/>
    </row>
    <row r="290" spans="1:8">
      <c r="A290" s="134"/>
      <c r="B290" s="134"/>
      <c r="C290" s="134"/>
      <c r="D290" s="112"/>
      <c r="E290" s="112"/>
      <c r="F290" s="113"/>
      <c r="G290" s="112"/>
      <c r="H290" s="114"/>
    </row>
    <row r="291" spans="1:8">
      <c r="A291" s="134"/>
      <c r="B291" s="134"/>
      <c r="C291" s="134"/>
      <c r="D291" s="112"/>
      <c r="E291" s="112"/>
      <c r="F291" s="113"/>
      <c r="G291" s="112"/>
      <c r="H291" s="114"/>
    </row>
    <row r="292" spans="1:8">
      <c r="A292" s="134"/>
      <c r="B292" s="134"/>
      <c r="C292" s="134"/>
      <c r="D292" s="112"/>
      <c r="E292" s="112"/>
      <c r="F292" s="113"/>
      <c r="G292" s="112"/>
      <c r="H292" s="114"/>
    </row>
    <row r="293" spans="1:8">
      <c r="A293" s="134"/>
      <c r="B293" s="134"/>
      <c r="C293" s="134"/>
      <c r="D293" s="112"/>
      <c r="E293" s="112"/>
      <c r="F293" s="113"/>
      <c r="G293" s="112"/>
      <c r="H293" s="114"/>
    </row>
    <row r="294" spans="1:8">
      <c r="A294" s="134"/>
      <c r="B294" s="134"/>
      <c r="C294" s="134"/>
      <c r="D294" s="112"/>
      <c r="E294" s="112"/>
      <c r="F294" s="113"/>
      <c r="G294" s="112"/>
      <c r="H294" s="114"/>
    </row>
    <row r="295" spans="1:8">
      <c r="A295" s="134"/>
      <c r="B295" s="134"/>
      <c r="C295" s="134"/>
      <c r="D295" s="112"/>
      <c r="E295" s="112"/>
      <c r="F295" s="113"/>
      <c r="G295" s="112"/>
      <c r="H295" s="114"/>
    </row>
    <row r="296" spans="1:8">
      <c r="A296" s="134"/>
      <c r="B296" s="134"/>
      <c r="C296" s="134"/>
      <c r="D296" s="112"/>
      <c r="E296" s="112"/>
      <c r="F296" s="113"/>
      <c r="G296" s="112"/>
      <c r="H296" s="114"/>
    </row>
    <row r="297" spans="1:8">
      <c r="A297" s="134"/>
      <c r="B297" s="134"/>
      <c r="C297" s="134"/>
      <c r="D297" s="112"/>
      <c r="E297" s="112"/>
      <c r="F297" s="113"/>
      <c r="G297" s="112"/>
      <c r="H297" s="114"/>
    </row>
    <row r="298" spans="1:8">
      <c r="A298" s="134"/>
      <c r="B298" s="134"/>
      <c r="C298" s="134"/>
      <c r="D298" s="112"/>
      <c r="E298" s="112"/>
      <c r="F298" s="113"/>
      <c r="G298" s="112"/>
      <c r="H298" s="114"/>
    </row>
    <row r="299" spans="1:8">
      <c r="A299" s="134"/>
      <c r="B299" s="134"/>
      <c r="C299" s="134"/>
      <c r="D299" s="112"/>
      <c r="E299" s="112"/>
      <c r="F299" s="113"/>
      <c r="G299" s="112"/>
      <c r="H299" s="114"/>
    </row>
    <row r="300" spans="1:8">
      <c r="A300" s="134"/>
      <c r="B300" s="134"/>
      <c r="C300" s="134"/>
      <c r="D300" s="112"/>
      <c r="E300" s="112"/>
      <c r="F300" s="113"/>
      <c r="G300" s="112"/>
      <c r="H300" s="114"/>
    </row>
    <row r="301" spans="1:8">
      <c r="A301" s="134"/>
      <c r="B301" s="134"/>
      <c r="C301" s="134"/>
      <c r="D301" s="112"/>
      <c r="E301" s="112"/>
      <c r="F301" s="113"/>
      <c r="G301" s="112"/>
      <c r="H301" s="114"/>
    </row>
    <row r="302" spans="1:8">
      <c r="A302" s="134"/>
      <c r="B302" s="134"/>
      <c r="C302" s="134"/>
      <c r="D302" s="112"/>
      <c r="E302" s="112"/>
      <c r="F302" s="113"/>
      <c r="G302" s="112"/>
      <c r="H302" s="114"/>
    </row>
    <row r="303" spans="1:8">
      <c r="A303" s="134"/>
      <c r="B303" s="134"/>
      <c r="C303" s="134"/>
      <c r="D303" s="112"/>
      <c r="E303" s="112"/>
      <c r="F303" s="113"/>
      <c r="G303" s="112"/>
      <c r="H303" s="114"/>
    </row>
    <row r="304" spans="1:8">
      <c r="A304" s="134"/>
      <c r="B304" s="134"/>
      <c r="C304" s="134"/>
      <c r="D304" s="112"/>
      <c r="E304" s="112"/>
      <c r="F304" s="113"/>
      <c r="G304" s="112"/>
      <c r="H304" s="114"/>
    </row>
    <row r="305" spans="1:8">
      <c r="A305" s="134"/>
      <c r="B305" s="134"/>
      <c r="C305" s="134"/>
      <c r="D305" s="112"/>
      <c r="E305" s="112"/>
      <c r="F305" s="113"/>
      <c r="G305" s="112"/>
      <c r="H305" s="114"/>
    </row>
    <row r="306" spans="1:8">
      <c r="A306" s="134"/>
      <c r="B306" s="134"/>
      <c r="C306" s="134"/>
      <c r="D306" s="112"/>
      <c r="E306" s="112"/>
      <c r="F306" s="113"/>
      <c r="G306" s="112"/>
      <c r="H306" s="114"/>
    </row>
    <row r="307" spans="1:8">
      <c r="A307" s="134"/>
      <c r="B307" s="134"/>
      <c r="C307" s="134"/>
      <c r="D307" s="112"/>
      <c r="E307" s="112"/>
      <c r="F307" s="113"/>
      <c r="G307" s="112"/>
      <c r="H307" s="114"/>
    </row>
    <row r="308" spans="1:8">
      <c r="A308" s="134"/>
      <c r="B308" s="134"/>
      <c r="C308" s="134"/>
      <c r="D308" s="112"/>
      <c r="E308" s="112"/>
      <c r="F308" s="113"/>
      <c r="G308" s="112"/>
      <c r="H308" s="114"/>
    </row>
    <row r="309" spans="1:8">
      <c r="A309" s="134"/>
      <c r="B309" s="134"/>
      <c r="C309" s="134"/>
      <c r="D309" s="112"/>
      <c r="E309" s="112"/>
      <c r="F309" s="113"/>
      <c r="G309" s="112"/>
      <c r="H309" s="114"/>
    </row>
    <row r="310" spans="1:8">
      <c r="A310" s="134"/>
      <c r="B310" s="134"/>
      <c r="C310" s="134"/>
      <c r="D310" s="112"/>
      <c r="E310" s="112"/>
      <c r="F310" s="113"/>
      <c r="G310" s="112"/>
      <c r="H310" s="114"/>
    </row>
    <row r="311" spans="1:8">
      <c r="A311" s="134"/>
      <c r="B311" s="134"/>
      <c r="C311" s="134"/>
      <c r="D311" s="112"/>
      <c r="E311" s="112"/>
      <c r="F311" s="113"/>
      <c r="G311" s="112"/>
      <c r="H311" s="114"/>
    </row>
    <row r="312" spans="1:8">
      <c r="A312" s="134"/>
      <c r="B312" s="134"/>
      <c r="C312" s="134"/>
      <c r="D312" s="112"/>
      <c r="E312" s="112"/>
      <c r="F312" s="113"/>
      <c r="G312" s="112"/>
      <c r="H312" s="114"/>
    </row>
    <row r="313" spans="1:8">
      <c r="A313" s="134"/>
      <c r="B313" s="134"/>
      <c r="C313" s="134"/>
      <c r="D313" s="112"/>
      <c r="E313" s="112"/>
      <c r="F313" s="113"/>
      <c r="G313" s="112"/>
      <c r="H313" s="114"/>
    </row>
    <row r="314" spans="1:8">
      <c r="A314" s="134"/>
      <c r="B314" s="134"/>
      <c r="C314" s="134"/>
      <c r="D314" s="112"/>
      <c r="E314" s="112"/>
      <c r="F314" s="113"/>
      <c r="G314" s="112"/>
      <c r="H314" s="114"/>
    </row>
    <row r="315" spans="1:8">
      <c r="A315" s="134"/>
      <c r="B315" s="134"/>
      <c r="C315" s="134"/>
      <c r="D315" s="112"/>
      <c r="E315" s="112"/>
      <c r="F315" s="113"/>
      <c r="G315" s="112"/>
      <c r="H315" s="114"/>
    </row>
    <row r="316" spans="1:8">
      <c r="A316" s="134"/>
      <c r="B316" s="134"/>
      <c r="C316" s="134"/>
      <c r="D316" s="112"/>
      <c r="E316" s="112"/>
      <c r="F316" s="113"/>
      <c r="G316" s="112"/>
      <c r="H316" s="114"/>
    </row>
    <row r="317" spans="1:8">
      <c r="A317" s="134"/>
      <c r="B317" s="134"/>
      <c r="C317" s="134"/>
      <c r="D317" s="112"/>
      <c r="E317" s="112"/>
      <c r="F317" s="113"/>
      <c r="G317" s="112"/>
      <c r="H317" s="114"/>
    </row>
    <row r="318" spans="1:8">
      <c r="A318" s="134"/>
      <c r="B318" s="134"/>
      <c r="C318" s="134"/>
      <c r="D318" s="112"/>
      <c r="E318" s="112"/>
      <c r="F318" s="113"/>
      <c r="G318" s="112"/>
      <c r="H318" s="114"/>
    </row>
    <row r="319" spans="1:8">
      <c r="A319" s="134"/>
      <c r="B319" s="134"/>
      <c r="C319" s="134"/>
      <c r="D319" s="112"/>
      <c r="E319" s="112"/>
      <c r="F319" s="113"/>
      <c r="G319" s="112"/>
      <c r="H319" s="114"/>
    </row>
    <row r="320" spans="1:8">
      <c r="A320" s="134"/>
      <c r="B320" s="134"/>
      <c r="C320" s="134"/>
      <c r="D320" s="112"/>
      <c r="E320" s="112"/>
      <c r="F320" s="113"/>
      <c r="G320" s="112"/>
      <c r="H320" s="114"/>
    </row>
    <row r="321" spans="1:8">
      <c r="A321" s="134"/>
      <c r="B321" s="134"/>
      <c r="C321" s="134"/>
      <c r="D321" s="112"/>
      <c r="E321" s="112"/>
      <c r="F321" s="113"/>
      <c r="G321" s="112"/>
      <c r="H321" s="114"/>
    </row>
    <row r="322" spans="1:8">
      <c r="A322" s="134"/>
      <c r="B322" s="134"/>
      <c r="C322" s="134"/>
      <c r="D322" s="112"/>
      <c r="E322" s="112"/>
      <c r="F322" s="113"/>
      <c r="G322" s="112"/>
      <c r="H322" s="114"/>
    </row>
    <row r="323" spans="1:8">
      <c r="A323" s="134"/>
      <c r="B323" s="134"/>
      <c r="C323" s="134"/>
      <c r="D323" s="112"/>
      <c r="E323" s="112"/>
      <c r="F323" s="113"/>
      <c r="G323" s="112"/>
      <c r="H323" s="114"/>
    </row>
    <row r="324" spans="1:8">
      <c r="A324" s="134"/>
      <c r="B324" s="134"/>
      <c r="C324" s="134"/>
      <c r="D324" s="112"/>
      <c r="E324" s="112"/>
      <c r="F324" s="113"/>
      <c r="G324" s="112"/>
      <c r="H324" s="114"/>
    </row>
    <row r="325" spans="1:8">
      <c r="A325" s="134"/>
      <c r="B325" s="134"/>
      <c r="C325" s="134"/>
      <c r="D325" s="112"/>
      <c r="E325" s="112"/>
      <c r="F325" s="113"/>
      <c r="G325" s="112"/>
      <c r="H325" s="114"/>
    </row>
    <row r="326" spans="1:8">
      <c r="A326" s="134"/>
      <c r="B326" s="134"/>
      <c r="C326" s="134"/>
      <c r="D326" s="112"/>
      <c r="E326" s="112"/>
      <c r="F326" s="113"/>
      <c r="G326" s="112"/>
      <c r="H326" s="114"/>
    </row>
    <row r="327" spans="1:8">
      <c r="A327" s="134"/>
      <c r="B327" s="134"/>
      <c r="C327" s="134"/>
      <c r="D327" s="112"/>
      <c r="E327" s="112"/>
      <c r="F327" s="113"/>
      <c r="G327" s="112"/>
      <c r="H327" s="114"/>
    </row>
    <row r="328" spans="1:8">
      <c r="A328" s="134"/>
      <c r="B328" s="134"/>
      <c r="C328" s="134"/>
      <c r="D328" s="112"/>
      <c r="E328" s="112"/>
      <c r="F328" s="113"/>
      <c r="G328" s="112"/>
      <c r="H328" s="114"/>
    </row>
    <row r="329" spans="1:8">
      <c r="A329" s="134"/>
      <c r="B329" s="134"/>
      <c r="C329" s="134"/>
      <c r="D329" s="112"/>
      <c r="E329" s="112"/>
      <c r="F329" s="113"/>
      <c r="G329" s="112"/>
      <c r="H329" s="114"/>
    </row>
    <row r="330" spans="1:8">
      <c r="A330" s="134"/>
      <c r="B330" s="134"/>
      <c r="C330" s="134"/>
      <c r="D330" s="112"/>
      <c r="E330" s="112"/>
      <c r="F330" s="113"/>
      <c r="G330" s="112"/>
      <c r="H330" s="114"/>
    </row>
    <row r="331" spans="1:8">
      <c r="A331" s="134"/>
      <c r="B331" s="134"/>
      <c r="C331" s="134"/>
      <c r="D331" s="112"/>
      <c r="E331" s="112"/>
      <c r="F331" s="113"/>
      <c r="G331" s="112"/>
      <c r="H331" s="114"/>
    </row>
    <row r="332" spans="1:8">
      <c r="A332" s="134"/>
      <c r="B332" s="134"/>
      <c r="C332" s="134"/>
      <c r="D332" s="112"/>
      <c r="E332" s="112"/>
      <c r="F332" s="113"/>
      <c r="G332" s="112"/>
      <c r="H332" s="114"/>
    </row>
    <row r="333" spans="1:8">
      <c r="A333" s="134"/>
      <c r="B333" s="134"/>
      <c r="C333" s="134"/>
      <c r="D333" s="112"/>
      <c r="E333" s="112"/>
      <c r="F333" s="113"/>
      <c r="G333" s="112"/>
      <c r="H333" s="114"/>
    </row>
    <row r="334" spans="1:8">
      <c r="A334" s="134"/>
      <c r="B334" s="134"/>
      <c r="C334" s="134"/>
      <c r="D334" s="112"/>
      <c r="E334" s="112"/>
      <c r="F334" s="113"/>
      <c r="G334" s="112"/>
      <c r="H334" s="114"/>
    </row>
    <row r="335" spans="1:8">
      <c r="A335" s="134"/>
      <c r="B335" s="134"/>
      <c r="C335" s="134"/>
      <c r="D335" s="112"/>
      <c r="E335" s="112"/>
      <c r="F335" s="113"/>
      <c r="G335" s="112"/>
      <c r="H335" s="114"/>
    </row>
    <row r="336" spans="1:8">
      <c r="A336" s="134"/>
      <c r="B336" s="134"/>
      <c r="C336" s="134"/>
      <c r="D336" s="112"/>
      <c r="E336" s="112"/>
      <c r="F336" s="113"/>
      <c r="G336" s="112"/>
      <c r="H336" s="114"/>
    </row>
    <row r="337" spans="1:8">
      <c r="A337" s="134"/>
      <c r="B337" s="134"/>
      <c r="C337" s="134"/>
      <c r="D337" s="112"/>
      <c r="E337" s="112"/>
      <c r="F337" s="113"/>
      <c r="G337" s="112"/>
      <c r="H337" s="114"/>
    </row>
    <row r="338" spans="1:8">
      <c r="A338" s="134"/>
      <c r="B338" s="134"/>
      <c r="C338" s="134"/>
      <c r="D338" s="112"/>
      <c r="E338" s="112"/>
      <c r="F338" s="113"/>
      <c r="G338" s="112"/>
      <c r="H338" s="114"/>
    </row>
    <row r="339" spans="1:8">
      <c r="A339" s="134"/>
      <c r="B339" s="134"/>
      <c r="C339" s="134"/>
      <c r="D339" s="112"/>
      <c r="E339" s="112"/>
      <c r="F339" s="113"/>
      <c r="G339" s="112"/>
      <c r="H339" s="114"/>
    </row>
    <row r="340" spans="1:8">
      <c r="A340" s="134"/>
      <c r="B340" s="134"/>
      <c r="C340" s="134"/>
      <c r="D340" s="112"/>
      <c r="E340" s="112"/>
      <c r="F340" s="113"/>
      <c r="G340" s="112"/>
      <c r="H340" s="114"/>
    </row>
    <row r="341" spans="1:8">
      <c r="A341" s="134"/>
      <c r="B341" s="134"/>
      <c r="C341" s="134"/>
      <c r="D341" s="112"/>
      <c r="E341" s="112"/>
      <c r="F341" s="113"/>
      <c r="G341" s="112"/>
      <c r="H341" s="114"/>
    </row>
    <row r="342" spans="1:8">
      <c r="A342" s="134"/>
      <c r="B342" s="134"/>
      <c r="C342" s="134"/>
      <c r="D342" s="112"/>
      <c r="E342" s="112"/>
      <c r="F342" s="113"/>
      <c r="G342" s="112"/>
      <c r="H342" s="114"/>
    </row>
    <row r="343" spans="1:8">
      <c r="A343" s="134"/>
      <c r="B343" s="134"/>
      <c r="C343" s="134"/>
      <c r="D343" s="112"/>
      <c r="E343" s="112"/>
      <c r="F343" s="113"/>
      <c r="G343" s="112"/>
      <c r="H343" s="114"/>
    </row>
    <row r="344" spans="1:8">
      <c r="A344" s="134"/>
      <c r="B344" s="134"/>
      <c r="C344" s="134"/>
      <c r="D344" s="112"/>
      <c r="E344" s="112"/>
      <c r="F344" s="113"/>
      <c r="G344" s="112"/>
      <c r="H344" s="114"/>
    </row>
    <row r="345" spans="1:8">
      <c r="A345" s="134"/>
      <c r="B345" s="134"/>
      <c r="C345" s="134"/>
      <c r="D345" s="112"/>
      <c r="E345" s="112"/>
      <c r="F345" s="113"/>
      <c r="G345" s="112"/>
      <c r="H345" s="114"/>
    </row>
    <row r="346" spans="1:8">
      <c r="A346" s="134"/>
      <c r="B346" s="134"/>
      <c r="C346" s="134"/>
      <c r="D346" s="112"/>
      <c r="E346" s="112"/>
      <c r="F346" s="113"/>
      <c r="G346" s="112"/>
      <c r="H346" s="114"/>
    </row>
    <row r="347" spans="1:8">
      <c r="A347" s="134"/>
      <c r="B347" s="134"/>
      <c r="C347" s="134"/>
      <c r="D347" s="112"/>
      <c r="E347" s="112"/>
      <c r="F347" s="113"/>
      <c r="G347" s="112"/>
      <c r="H347" s="114"/>
    </row>
    <row r="348" spans="1:8">
      <c r="A348" s="134"/>
      <c r="B348" s="134"/>
      <c r="C348" s="134"/>
      <c r="D348" s="112"/>
      <c r="E348" s="112"/>
      <c r="F348" s="113"/>
      <c r="G348" s="112"/>
      <c r="H348" s="114"/>
    </row>
    <row r="349" spans="1:8">
      <c r="A349" s="134"/>
      <c r="B349" s="134"/>
      <c r="C349" s="134"/>
      <c r="D349" s="112"/>
      <c r="E349" s="112"/>
      <c r="F349" s="113"/>
      <c r="G349" s="112"/>
      <c r="H349" s="114"/>
    </row>
    <row r="350" spans="1:8">
      <c r="A350" s="134"/>
      <c r="B350" s="134"/>
      <c r="C350" s="134"/>
      <c r="D350" s="112"/>
      <c r="E350" s="112"/>
      <c r="F350" s="113"/>
      <c r="G350" s="112"/>
      <c r="H350" s="114"/>
    </row>
    <row r="351" spans="1:8">
      <c r="A351" s="134"/>
      <c r="B351" s="134"/>
      <c r="C351" s="134"/>
      <c r="D351" s="112"/>
      <c r="E351" s="112"/>
      <c r="F351" s="113"/>
      <c r="G351" s="112"/>
      <c r="H351" s="114"/>
    </row>
    <row r="352" spans="1:8">
      <c r="A352" s="134"/>
      <c r="B352" s="134"/>
      <c r="C352" s="134"/>
      <c r="D352" s="112"/>
      <c r="E352" s="112"/>
      <c r="F352" s="113"/>
      <c r="G352" s="112"/>
      <c r="H352" s="114"/>
    </row>
    <row r="353" spans="1:8">
      <c r="A353" s="134"/>
      <c r="B353" s="134"/>
      <c r="C353" s="134"/>
      <c r="D353" s="112"/>
      <c r="E353" s="112"/>
      <c r="F353" s="113"/>
      <c r="G353" s="112"/>
      <c r="H353" s="114"/>
    </row>
    <row r="354" spans="1:8">
      <c r="A354" s="134"/>
      <c r="B354" s="134"/>
      <c r="C354" s="134"/>
      <c r="D354" s="112"/>
      <c r="E354" s="112"/>
      <c r="F354" s="113"/>
      <c r="G354" s="112"/>
      <c r="H354" s="114"/>
    </row>
    <row r="355" spans="1:8">
      <c r="A355" s="134"/>
      <c r="B355" s="134"/>
      <c r="C355" s="134"/>
      <c r="D355" s="112"/>
      <c r="E355" s="112"/>
      <c r="F355" s="113"/>
      <c r="G355" s="112"/>
      <c r="H355" s="114"/>
    </row>
    <row r="356" spans="1:8">
      <c r="A356" s="134"/>
      <c r="B356" s="134"/>
      <c r="C356" s="134"/>
      <c r="D356" s="112"/>
      <c r="E356" s="112"/>
      <c r="F356" s="113"/>
      <c r="G356" s="112"/>
      <c r="H356" s="114"/>
    </row>
    <row r="357" spans="1:8">
      <c r="A357" s="134"/>
      <c r="B357" s="134"/>
      <c r="C357" s="134"/>
      <c r="D357" s="112"/>
      <c r="E357" s="112"/>
      <c r="F357" s="113"/>
      <c r="G357" s="112"/>
      <c r="H357" s="114"/>
    </row>
    <row r="358" spans="1:8">
      <c r="A358" s="134"/>
      <c r="B358" s="134"/>
      <c r="C358" s="134"/>
      <c r="D358" s="112"/>
      <c r="E358" s="112"/>
      <c r="F358" s="113"/>
      <c r="G358" s="112"/>
      <c r="H358" s="114"/>
    </row>
    <row r="359" spans="1:8">
      <c r="A359" s="134"/>
      <c r="B359" s="134"/>
      <c r="C359" s="134"/>
      <c r="D359" s="112"/>
      <c r="E359" s="112"/>
      <c r="F359" s="113"/>
      <c r="G359" s="112"/>
      <c r="H359" s="114"/>
    </row>
    <row r="360" spans="1:8">
      <c r="A360" s="134"/>
      <c r="B360" s="134"/>
      <c r="C360" s="134"/>
      <c r="D360" s="112"/>
      <c r="E360" s="112"/>
      <c r="F360" s="113"/>
      <c r="G360" s="112"/>
      <c r="H360" s="114"/>
    </row>
    <row r="361" spans="1:8">
      <c r="A361" s="134"/>
      <c r="B361" s="134"/>
      <c r="C361" s="134"/>
      <c r="D361" s="112"/>
      <c r="E361" s="112"/>
      <c r="F361" s="113"/>
      <c r="G361" s="112"/>
      <c r="H361" s="114"/>
    </row>
    <row r="362" spans="1:8">
      <c r="A362" s="134"/>
      <c r="B362" s="134"/>
      <c r="C362" s="134"/>
      <c r="D362" s="112"/>
      <c r="E362" s="112"/>
      <c r="F362" s="113"/>
      <c r="G362" s="112"/>
      <c r="H362" s="114"/>
    </row>
    <row r="363" spans="1:8">
      <c r="A363" s="134"/>
      <c r="B363" s="134"/>
      <c r="C363" s="134"/>
      <c r="D363" s="112"/>
      <c r="E363" s="112"/>
      <c r="F363" s="113"/>
      <c r="G363" s="112"/>
      <c r="H363" s="114"/>
    </row>
    <row r="364" spans="1:8">
      <c r="A364" s="134"/>
      <c r="B364" s="134"/>
      <c r="C364" s="134"/>
      <c r="D364" s="112"/>
      <c r="E364" s="112"/>
      <c r="F364" s="113"/>
      <c r="G364" s="112"/>
      <c r="H364" s="114"/>
    </row>
    <row r="365" spans="1:8">
      <c r="A365" s="134"/>
      <c r="B365" s="134"/>
      <c r="C365" s="134"/>
      <c r="D365" s="112"/>
      <c r="E365" s="112"/>
      <c r="F365" s="113"/>
      <c r="G365" s="112"/>
      <c r="H365" s="114"/>
    </row>
    <row r="366" spans="1:8">
      <c r="A366" s="134"/>
      <c r="B366" s="134"/>
      <c r="C366" s="134"/>
      <c r="D366" s="112"/>
      <c r="E366" s="112"/>
      <c r="F366" s="113"/>
      <c r="G366" s="112"/>
      <c r="H366" s="114"/>
    </row>
    <row r="367" spans="1:8">
      <c r="A367" s="134"/>
      <c r="B367" s="134"/>
      <c r="C367" s="134"/>
      <c r="D367" s="112"/>
      <c r="E367" s="112"/>
      <c r="F367" s="113"/>
      <c r="G367" s="112"/>
      <c r="H367" s="114"/>
    </row>
    <row r="368" spans="1:8">
      <c r="A368" s="134"/>
      <c r="B368" s="134"/>
      <c r="C368" s="134"/>
      <c r="D368" s="112"/>
      <c r="E368" s="112"/>
      <c r="F368" s="113"/>
      <c r="G368" s="112"/>
      <c r="H368" s="114"/>
    </row>
    <row r="369" spans="1:8">
      <c r="A369" s="134"/>
      <c r="B369" s="134"/>
      <c r="C369" s="134"/>
      <c r="D369" s="112"/>
      <c r="E369" s="112"/>
      <c r="F369" s="113"/>
      <c r="G369" s="112"/>
      <c r="H369" s="114"/>
    </row>
    <row r="370" spans="1:8">
      <c r="A370" s="134"/>
      <c r="B370" s="134"/>
      <c r="C370" s="134"/>
      <c r="D370" s="112"/>
      <c r="E370" s="112"/>
      <c r="F370" s="113"/>
      <c r="G370" s="112"/>
      <c r="H370" s="114"/>
    </row>
    <row r="371" spans="1:8">
      <c r="A371" s="134"/>
      <c r="B371" s="134"/>
      <c r="C371" s="134"/>
      <c r="D371" s="112"/>
      <c r="E371" s="112"/>
      <c r="F371" s="113"/>
      <c r="G371" s="112"/>
      <c r="H371" s="114"/>
    </row>
    <row r="372" spans="1:8">
      <c r="A372" s="134"/>
      <c r="B372" s="134"/>
      <c r="C372" s="134"/>
      <c r="D372" s="112"/>
      <c r="E372" s="112"/>
      <c r="F372" s="113"/>
      <c r="G372" s="112"/>
      <c r="H372" s="114"/>
    </row>
    <row r="373" spans="1:8">
      <c r="A373" s="134"/>
      <c r="B373" s="134"/>
      <c r="C373" s="134"/>
      <c r="D373" s="112"/>
      <c r="E373" s="112"/>
      <c r="F373" s="113"/>
      <c r="G373" s="112"/>
      <c r="H373" s="114"/>
    </row>
    <row r="374" spans="1:8">
      <c r="A374" s="134"/>
      <c r="B374" s="134"/>
      <c r="C374" s="134"/>
      <c r="D374" s="112"/>
      <c r="E374" s="112"/>
      <c r="F374" s="113"/>
      <c r="G374" s="112"/>
      <c r="H374" s="114"/>
    </row>
    <row r="375" spans="1:8">
      <c r="A375" s="134"/>
      <c r="B375" s="134"/>
      <c r="C375" s="134"/>
      <c r="D375" s="112"/>
      <c r="E375" s="112"/>
      <c r="F375" s="113"/>
      <c r="G375" s="112"/>
      <c r="H375" s="114"/>
    </row>
    <row r="376" spans="1:8">
      <c r="A376" s="134"/>
      <c r="B376" s="134"/>
      <c r="C376" s="134"/>
      <c r="D376" s="112"/>
      <c r="E376" s="112"/>
      <c r="F376" s="113"/>
      <c r="G376" s="112"/>
      <c r="H376" s="114"/>
    </row>
    <row r="377" spans="1:8">
      <c r="A377" s="134"/>
      <c r="B377" s="134"/>
      <c r="C377" s="134"/>
      <c r="D377" s="112"/>
      <c r="E377" s="112"/>
      <c r="F377" s="113"/>
      <c r="G377" s="112"/>
      <c r="H377" s="114"/>
    </row>
    <row r="378" spans="1:8">
      <c r="A378" s="134"/>
      <c r="B378" s="134"/>
      <c r="C378" s="134"/>
      <c r="D378" s="112"/>
      <c r="E378" s="112"/>
      <c r="F378" s="113"/>
      <c r="G378" s="112"/>
      <c r="H378" s="114"/>
    </row>
    <row r="379" spans="1:8">
      <c r="A379" s="134"/>
      <c r="B379" s="134"/>
      <c r="C379" s="134"/>
      <c r="D379" s="112"/>
      <c r="E379" s="112"/>
      <c r="F379" s="113"/>
      <c r="G379" s="112"/>
      <c r="H379" s="114"/>
    </row>
    <row r="380" spans="1:8">
      <c r="A380" s="134"/>
      <c r="B380" s="134"/>
      <c r="C380" s="134"/>
      <c r="D380" s="112"/>
      <c r="E380" s="112"/>
      <c r="F380" s="113"/>
      <c r="G380" s="112"/>
      <c r="H380" s="114"/>
    </row>
    <row r="381" spans="1:8">
      <c r="A381" s="134"/>
      <c r="B381" s="134"/>
      <c r="C381" s="134"/>
      <c r="D381" s="112"/>
      <c r="E381" s="112"/>
      <c r="F381" s="113"/>
      <c r="G381" s="112"/>
      <c r="H381" s="114"/>
    </row>
    <row r="382" spans="1:8">
      <c r="A382" s="134"/>
      <c r="B382" s="134"/>
      <c r="C382" s="134"/>
      <c r="D382" s="112"/>
      <c r="E382" s="112"/>
      <c r="F382" s="113"/>
      <c r="G382" s="112"/>
      <c r="H382" s="114"/>
    </row>
    <row r="383" spans="1:8">
      <c r="A383" s="134"/>
      <c r="B383" s="134"/>
      <c r="C383" s="134"/>
      <c r="D383" s="112"/>
      <c r="E383" s="112"/>
      <c r="F383" s="113"/>
      <c r="G383" s="112"/>
      <c r="H383" s="114"/>
    </row>
    <row r="384" spans="1:8">
      <c r="A384" s="134"/>
      <c r="B384" s="134"/>
      <c r="C384" s="134"/>
      <c r="D384" s="112"/>
      <c r="E384" s="112"/>
      <c r="F384" s="113"/>
      <c r="G384" s="112"/>
      <c r="H384" s="114"/>
    </row>
    <row r="385" spans="1:8">
      <c r="A385" s="134"/>
      <c r="B385" s="134"/>
      <c r="C385" s="134"/>
      <c r="D385" s="112"/>
      <c r="E385" s="112"/>
      <c r="F385" s="113"/>
      <c r="G385" s="112"/>
      <c r="H385" s="114"/>
    </row>
    <row r="386" spans="1:8">
      <c r="A386" s="134"/>
      <c r="B386" s="134"/>
      <c r="C386" s="134"/>
      <c r="D386" s="112"/>
      <c r="E386" s="112"/>
      <c r="F386" s="113"/>
      <c r="G386" s="112"/>
      <c r="H386" s="114"/>
    </row>
    <row r="387" spans="1:8">
      <c r="A387" s="134"/>
      <c r="B387" s="134"/>
      <c r="C387" s="134"/>
      <c r="D387" s="112"/>
      <c r="E387" s="112"/>
      <c r="F387" s="113"/>
      <c r="G387" s="112"/>
      <c r="H387" s="114"/>
    </row>
    <row r="388" spans="1:8">
      <c r="A388" s="134"/>
      <c r="B388" s="134"/>
      <c r="C388" s="134"/>
      <c r="D388" s="112"/>
      <c r="E388" s="112"/>
      <c r="F388" s="113"/>
      <c r="G388" s="112"/>
      <c r="H388" s="114"/>
    </row>
    <row r="389" spans="1:8">
      <c r="A389" s="134"/>
      <c r="B389" s="134"/>
      <c r="C389" s="134"/>
      <c r="D389" s="112"/>
      <c r="E389" s="112"/>
      <c r="F389" s="113"/>
      <c r="G389" s="112"/>
      <c r="H389" s="114"/>
    </row>
    <row r="390" spans="1:8">
      <c r="A390" s="134"/>
      <c r="B390" s="134"/>
      <c r="C390" s="134"/>
      <c r="D390" s="112"/>
      <c r="E390" s="112"/>
      <c r="F390" s="113"/>
      <c r="G390" s="112"/>
      <c r="H390" s="114"/>
    </row>
  </sheetData>
  <sheetProtection formatColumns="0" formatRows="0" selectLockedCells="1"/>
  <mergeCells count="18">
    <mergeCell ref="A3:H3"/>
    <mergeCell ref="A32:B32"/>
    <mergeCell ref="A34:B34"/>
    <mergeCell ref="A35:B35"/>
    <mergeCell ref="A36:B36"/>
    <mergeCell ref="F19:H19"/>
    <mergeCell ref="A61:G61"/>
    <mergeCell ref="D23:H24"/>
    <mergeCell ref="D27:H30"/>
    <mergeCell ref="D33:H37"/>
    <mergeCell ref="A27:B27"/>
    <mergeCell ref="A28:B28"/>
    <mergeCell ref="A29:B29"/>
    <mergeCell ref="A37:B37"/>
    <mergeCell ref="A30:B30"/>
    <mergeCell ref="A23:B23"/>
    <mergeCell ref="A25:B25"/>
    <mergeCell ref="A26:B26"/>
  </mergeCells>
  <pageMargins left="0.61" right="0.25" top="0.14000000000000001" bottom="0.12" header="0.25" footer="0.12"/>
  <pageSetup paperSize="5" scale="73" orientation="portrait" horizontalDpi="4294967293"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FF0000"/>
  </sheetPr>
  <dimension ref="A1:AU79"/>
  <sheetViews>
    <sheetView showGridLines="0" tabSelected="1" topLeftCell="A31" zoomScale="70" zoomScaleNormal="70" workbookViewId="0">
      <selection activeCell="C51" sqref="C51"/>
    </sheetView>
  </sheetViews>
  <sheetFormatPr defaultRowHeight="13.5"/>
  <cols>
    <col min="1" max="1" width="11.85546875" style="3" customWidth="1"/>
    <col min="2" max="2" width="26.42578125" style="3" customWidth="1"/>
    <col min="3" max="3" width="22.140625" style="3" customWidth="1"/>
    <col min="4" max="4" width="19.28515625" style="3" customWidth="1"/>
    <col min="5" max="5" width="20.140625" style="3" customWidth="1"/>
    <col min="6" max="6" width="19.42578125" style="3" customWidth="1"/>
    <col min="7" max="7" width="11.85546875" style="3" customWidth="1"/>
    <col min="8" max="8" width="20" style="3" customWidth="1"/>
    <col min="9" max="9" width="25.28515625" style="3" customWidth="1"/>
    <col min="10" max="10" width="81.140625" style="3" customWidth="1"/>
    <col min="11" max="11" width="21.7109375" style="3" customWidth="1"/>
    <col min="12" max="12" width="21.5703125" style="3" bestFit="1" customWidth="1"/>
    <col min="13" max="13" width="13.140625" style="3" customWidth="1"/>
    <col min="14" max="14" width="13.7109375" style="3" bestFit="1" customWidth="1"/>
    <col min="15" max="15" width="15" style="3" customWidth="1"/>
    <col min="16" max="18" width="13.140625" style="3" customWidth="1"/>
    <col min="19" max="19" width="11.140625" style="3" customWidth="1"/>
    <col min="20" max="20" width="9.140625" style="4"/>
    <col min="21" max="21" width="19.7109375" style="3" customWidth="1"/>
    <col min="22" max="22" width="9.140625" style="3"/>
    <col min="23" max="23" width="9.28515625" style="3" customWidth="1"/>
    <col min="24" max="24" width="9.140625" style="3"/>
    <col min="25" max="25" width="19.42578125" style="3" bestFit="1" customWidth="1"/>
    <col min="26" max="16384" width="9.140625" style="3"/>
  </cols>
  <sheetData>
    <row r="1" spans="1:23" ht="7.5" customHeight="1"/>
    <row r="2" spans="1:23" ht="57.75" customHeight="1">
      <c r="A2" s="413"/>
      <c r="B2" s="413"/>
      <c r="C2" s="413"/>
      <c r="D2" s="413"/>
      <c r="E2" s="413"/>
      <c r="F2" s="413"/>
      <c r="G2" s="413"/>
      <c r="H2" s="413"/>
      <c r="I2" s="413"/>
      <c r="J2" s="5"/>
      <c r="K2" s="5"/>
      <c r="L2" s="5"/>
      <c r="M2" s="5"/>
      <c r="N2" s="5"/>
      <c r="O2" s="5"/>
      <c r="P2" s="5"/>
      <c r="Q2" s="5"/>
      <c r="R2" s="5"/>
    </row>
    <row r="3" spans="1:23" ht="48.75" customHeight="1" thickBot="1">
      <c r="A3" s="207"/>
      <c r="B3" s="207"/>
      <c r="C3" s="207"/>
      <c r="D3" s="207"/>
      <c r="E3" s="207"/>
      <c r="F3" s="207"/>
      <c r="G3" s="207"/>
      <c r="H3" s="207"/>
      <c r="I3" s="207"/>
      <c r="L3" s="344"/>
    </row>
    <row r="4" spans="1:23" ht="40.5" customHeight="1">
      <c r="A4" s="414" t="str">
        <f>UPPER("Computation Sheet and Payment Schedule")</f>
        <v>COMPUTATION SHEET AND PAYMENT SCHEDULE</v>
      </c>
      <c r="B4" s="414"/>
      <c r="C4" s="414"/>
      <c r="D4" s="414"/>
      <c r="E4" s="414"/>
      <c r="F4" s="414"/>
      <c r="G4" s="414"/>
      <c r="H4" s="414"/>
      <c r="I4" s="414"/>
      <c r="J4" s="7"/>
      <c r="K4" s="7"/>
      <c r="L4" s="7"/>
      <c r="M4" s="7"/>
      <c r="N4" s="7"/>
      <c r="O4" s="7"/>
      <c r="P4" s="7"/>
      <c r="Q4" s="7"/>
      <c r="R4" s="7"/>
    </row>
    <row r="5" spans="1:23" ht="22.5" customHeight="1">
      <c r="A5" s="415" t="s">
        <v>0</v>
      </c>
      <c r="B5" s="415"/>
      <c r="C5" s="415" t="s">
        <v>1</v>
      </c>
      <c r="D5" s="415"/>
      <c r="E5" s="416" t="s">
        <v>2</v>
      </c>
      <c r="F5" s="416"/>
      <c r="G5" s="42"/>
      <c r="H5" s="43" t="s">
        <v>3</v>
      </c>
      <c r="I5" s="44"/>
      <c r="J5" s="8"/>
      <c r="K5" s="8"/>
      <c r="L5" s="8"/>
      <c r="M5" s="8"/>
      <c r="N5" s="8"/>
      <c r="O5" s="8"/>
      <c r="P5" s="8"/>
      <c r="Q5" s="8"/>
      <c r="R5" s="8"/>
    </row>
    <row r="6" spans="1:23" ht="21" customHeight="1">
      <c r="A6" s="417" t="str">
        <f>IF(OR_NAME&lt;&gt;"",Client_Name &amp;" or " &amp; OR_NAME,Client_Name)</f>
        <v>** or **</v>
      </c>
      <c r="B6" s="417"/>
      <c r="C6" s="418" t="str">
        <f>PROPER('Master data Input'!C8)</f>
        <v>**</v>
      </c>
      <c r="D6" s="418"/>
      <c r="E6" s="45"/>
      <c r="F6" s="45" t="str">
        <f>Type_of_Loan&amp;TEXT(IF(Express="YES","-EXPRESS",""),"")</f>
        <v>SML</v>
      </c>
      <c r="G6" s="42"/>
      <c r="H6" s="46" t="s">
        <v>5</v>
      </c>
      <c r="I6" s="47">
        <f>Term_masterdatainput</f>
        <v>8</v>
      </c>
      <c r="J6" s="9">
        <f>Terms</f>
        <v>8</v>
      </c>
      <c r="K6" s="9"/>
      <c r="L6" s="10"/>
      <c r="M6" s="10"/>
      <c r="N6" s="10"/>
      <c r="O6" s="10"/>
      <c r="P6" s="10"/>
      <c r="Q6" s="10"/>
      <c r="R6" s="10"/>
    </row>
    <row r="7" spans="1:23" ht="33.75" customHeight="1">
      <c r="A7" s="417"/>
      <c r="B7" s="417"/>
      <c r="C7" s="418"/>
      <c r="D7" s="418"/>
      <c r="E7" s="42"/>
      <c r="F7" s="48"/>
      <c r="G7" s="49"/>
      <c r="H7" s="45" t="s">
        <v>56</v>
      </c>
      <c r="I7" s="45" t="s">
        <v>4</v>
      </c>
      <c r="J7" s="10"/>
      <c r="K7" s="10"/>
      <c r="L7" s="10"/>
      <c r="M7" s="10"/>
      <c r="N7" s="10"/>
      <c r="O7" s="10"/>
      <c r="P7" s="10"/>
      <c r="Q7" s="10"/>
      <c r="R7" s="10"/>
    </row>
    <row r="8" spans="1:23" ht="28.5" customHeight="1">
      <c r="A8" s="417"/>
      <c r="B8" s="417"/>
      <c r="C8" s="418"/>
      <c r="D8" s="418"/>
      <c r="E8" s="42"/>
      <c r="F8" s="42"/>
      <c r="G8" s="48"/>
      <c r="H8" s="50">
        <f>Date_Released</f>
        <v>46083</v>
      </c>
      <c r="I8" s="51">
        <f>MaturityDate_data_input</f>
        <v>46342</v>
      </c>
      <c r="K8" s="11"/>
      <c r="L8" s="11"/>
      <c r="M8" s="11">
        <f>'Master data Input'!F30</f>
        <v>46342</v>
      </c>
      <c r="N8" s="11" t="s">
        <v>68</v>
      </c>
      <c r="O8" s="12">
        <f>I6</f>
        <v>8</v>
      </c>
      <c r="P8" s="11"/>
      <c r="Q8" s="11"/>
      <c r="R8" s="11"/>
    </row>
    <row r="9" spans="1:23" ht="18.75" customHeight="1">
      <c r="A9" s="417"/>
      <c r="B9" s="417"/>
      <c r="C9" s="52"/>
      <c r="D9" s="52"/>
      <c r="E9" s="42"/>
      <c r="F9" s="423" t="s">
        <v>31</v>
      </c>
      <c r="G9" s="423"/>
      <c r="H9" s="181">
        <f>Number_of_Amortization</f>
        <v>8</v>
      </c>
      <c r="I9" s="54"/>
      <c r="J9" s="8"/>
      <c r="K9" s="8"/>
      <c r="L9" s="8"/>
      <c r="M9" s="8"/>
      <c r="N9" s="8"/>
      <c r="O9" s="8"/>
      <c r="P9" s="8"/>
      <c r="Q9" s="8"/>
      <c r="R9" s="8"/>
    </row>
    <row r="10" spans="1:23" ht="10.5" customHeight="1">
      <c r="A10" s="417"/>
      <c r="B10" s="417"/>
      <c r="C10" s="38"/>
      <c r="D10" s="38"/>
      <c r="E10" s="38"/>
      <c r="F10" s="38"/>
      <c r="G10" s="38"/>
      <c r="H10" s="39"/>
      <c r="I10" s="39"/>
      <c r="J10" s="8"/>
      <c r="K10" s="8"/>
      <c r="L10" s="8"/>
      <c r="M10" s="13">
        <f>IF(U23&lt;H8,H8,U23)</f>
        <v>46098</v>
      </c>
      <c r="N10" s="8"/>
      <c r="O10" s="8"/>
      <c r="P10" s="8"/>
      <c r="Q10" s="8"/>
      <c r="R10" s="8"/>
    </row>
    <row r="11" spans="1:23" ht="22.5">
      <c r="A11" s="419" t="s">
        <v>6</v>
      </c>
      <c r="B11" s="419"/>
      <c r="C11" s="419"/>
      <c r="D11" s="419"/>
      <c r="E11" s="419"/>
      <c r="F11" s="419"/>
      <c r="G11" s="419"/>
      <c r="H11" s="419"/>
      <c r="I11" s="419"/>
      <c r="J11" s="14"/>
      <c r="K11" s="14"/>
      <c r="L11" s="14"/>
      <c r="M11" s="14"/>
      <c r="N11" s="14"/>
      <c r="O11" s="14"/>
      <c r="P11" s="14"/>
      <c r="Q11" s="14"/>
      <c r="R11" s="14"/>
    </row>
    <row r="12" spans="1:23" ht="12" customHeight="1">
      <c r="A12" s="37"/>
      <c r="B12" s="37"/>
      <c r="C12" s="37"/>
      <c r="D12" s="37"/>
      <c r="E12" s="37"/>
      <c r="F12" s="37"/>
      <c r="G12" s="37"/>
      <c r="H12" s="37"/>
      <c r="I12" s="37"/>
      <c r="J12" s="8"/>
      <c r="K12" s="8"/>
      <c r="L12" s="8"/>
      <c r="M12" s="8"/>
      <c r="N12" s="8"/>
      <c r="O12" s="8"/>
      <c r="P12" s="8"/>
      <c r="Q12" s="8"/>
      <c r="R12" s="8"/>
      <c r="W12" s="3">
        <v>7</v>
      </c>
    </row>
    <row r="13" spans="1:23" ht="20.25">
      <c r="A13" s="55" t="s">
        <v>99</v>
      </c>
      <c r="B13" s="54"/>
      <c r="C13" s="54"/>
      <c r="D13" s="54"/>
      <c r="E13" s="54"/>
      <c r="F13" s="56">
        <f>'computation sheet'!D5</f>
        <v>80953.710000000006</v>
      </c>
      <c r="G13" s="54"/>
      <c r="H13" s="54"/>
      <c r="I13" s="54"/>
      <c r="J13" s="8"/>
      <c r="K13" s="8"/>
      <c r="L13" s="8"/>
      <c r="M13" s="8"/>
      <c r="N13" s="8"/>
      <c r="O13" s="8"/>
      <c r="P13" s="8"/>
      <c r="Q13" s="8"/>
      <c r="R13" s="8"/>
    </row>
    <row r="14" spans="1:23" ht="20.25">
      <c r="A14" s="68" t="s">
        <v>140</v>
      </c>
      <c r="B14" s="54"/>
      <c r="C14" s="54"/>
      <c r="D14" s="54"/>
      <c r="E14" s="54"/>
      <c r="F14" s="57"/>
      <c r="G14" s="54"/>
      <c r="H14" s="54"/>
      <c r="I14" s="54"/>
      <c r="J14" s="8"/>
      <c r="K14" s="8"/>
      <c r="L14" s="8"/>
      <c r="M14" s="8"/>
      <c r="N14" s="8"/>
      <c r="O14" s="8"/>
      <c r="P14" s="8"/>
      <c r="Q14" s="8"/>
      <c r="R14" s="8"/>
    </row>
    <row r="15" spans="1:23" ht="20.25">
      <c r="A15" s="54" t="s">
        <v>23</v>
      </c>
      <c r="B15" s="54"/>
      <c r="C15" s="54"/>
      <c r="D15" s="54"/>
      <c r="E15" s="54"/>
      <c r="F15" s="57"/>
      <c r="G15" s="54" t="s">
        <v>106</v>
      </c>
      <c r="H15" s="54"/>
      <c r="I15" s="58" t="str">
        <f>Renewal</f>
        <v>No</v>
      </c>
      <c r="J15" s="8"/>
      <c r="K15" s="8"/>
      <c r="L15" s="8"/>
      <c r="M15" s="8"/>
      <c r="N15" s="8"/>
      <c r="O15" s="8"/>
      <c r="P15" s="8"/>
      <c r="Q15" s="8"/>
      <c r="R15" s="8"/>
    </row>
    <row r="16" spans="1:23" ht="20.25">
      <c r="A16" s="54"/>
      <c r="B16" s="59">
        <f>Interest</f>
        <v>0.03</v>
      </c>
      <c r="C16" s="54" t="str">
        <f>"from"&amp;TEXT(Date_Released," mm/dd/yyyy")&amp;" to "&amp;TEXT(Date_released2," mm/dd/yyyy")</f>
        <v>from 03/02/2026 to  03/17/2026</v>
      </c>
      <c r="D16" s="54"/>
      <c r="E16" s="60">
        <f>'computation sheet'!C9</f>
        <v>1214.31</v>
      </c>
      <c r="F16" s="61"/>
      <c r="G16" s="54" t="s">
        <v>14</v>
      </c>
      <c r="H16" s="54"/>
      <c r="I16" s="62">
        <f>'Master data Input'!F18</f>
        <v>0</v>
      </c>
      <c r="J16" s="15">
        <f>E16+C41/A41-(360/DATEDIF(H8,I8,"d"))</f>
        <v>1213.0935860152949</v>
      </c>
      <c r="K16" s="8"/>
      <c r="L16" s="8">
        <f>DATEDIF(H8,B46,"d")</f>
        <v>45</v>
      </c>
      <c r="M16" s="8" t="s">
        <v>47</v>
      </c>
      <c r="N16" s="8"/>
      <c r="O16" s="8"/>
      <c r="P16" s="8"/>
      <c r="Q16" s="8"/>
      <c r="R16" s="8"/>
    </row>
    <row r="17" spans="1:24" ht="20.25">
      <c r="A17" s="63" t="s">
        <v>98</v>
      </c>
      <c r="B17" s="54"/>
      <c r="C17" s="64">
        <f>Processing_Fee_in_Percentage</f>
        <v>7.4999999999999997E-2</v>
      </c>
      <c r="D17" s="54"/>
      <c r="E17" s="65">
        <f>Principal_Amount*Percent_processingfee</f>
        <v>6071.5282500000003</v>
      </c>
      <c r="F17" s="57"/>
      <c r="G17" s="54" t="s">
        <v>95</v>
      </c>
      <c r="H17" s="54"/>
      <c r="I17" s="66" t="str">
        <f>Installment_Type</f>
        <v>Monthly</v>
      </c>
      <c r="J17" s="8"/>
      <c r="K17" s="8"/>
      <c r="L17" s="8">
        <f>DATEDIF(H8,M10,"D")</f>
        <v>15</v>
      </c>
      <c r="M17" s="8"/>
      <c r="N17" s="8"/>
      <c r="O17" s="8"/>
      <c r="P17" s="8"/>
      <c r="Q17" s="8"/>
      <c r="R17" s="8"/>
      <c r="U17" s="16"/>
    </row>
    <row r="18" spans="1:24" ht="20.25">
      <c r="A18" s="54" t="s">
        <v>50</v>
      </c>
      <c r="B18" s="54"/>
      <c r="C18" s="64"/>
      <c r="D18" s="54"/>
      <c r="E18" s="65">
        <f>'computation sheet'!C11</f>
        <v>0</v>
      </c>
      <c r="F18" s="57"/>
      <c r="G18" s="54"/>
      <c r="H18" s="54"/>
      <c r="I18" s="54"/>
      <c r="J18" s="8"/>
      <c r="K18" s="8"/>
      <c r="L18" s="8"/>
      <c r="M18" s="8"/>
      <c r="N18" s="8"/>
      <c r="O18" s="8"/>
      <c r="P18" s="8"/>
      <c r="Q18" s="8"/>
      <c r="R18" s="8"/>
      <c r="U18" s="16"/>
    </row>
    <row r="19" spans="1:24" ht="20.25">
      <c r="A19" s="54" t="s">
        <v>42</v>
      </c>
      <c r="B19" s="54"/>
      <c r="C19" s="64"/>
      <c r="D19" s="54"/>
      <c r="E19" s="70">
        <f>Docfee_Yes_or_No</f>
        <v>500</v>
      </c>
      <c r="F19" s="57"/>
      <c r="G19" s="54"/>
      <c r="H19" s="54"/>
      <c r="I19" s="54"/>
      <c r="J19" s="8"/>
      <c r="K19" s="8"/>
      <c r="L19" s="8"/>
      <c r="M19" s="8"/>
      <c r="N19" s="8"/>
      <c r="O19" s="8"/>
      <c r="P19" s="8"/>
      <c r="Q19" s="8"/>
      <c r="R19" s="8"/>
      <c r="U19" s="16"/>
    </row>
    <row r="20" spans="1:24" ht="20.25">
      <c r="A20" s="54" t="s">
        <v>11</v>
      </c>
      <c r="B20" s="54"/>
      <c r="C20" s="64"/>
      <c r="D20" s="54"/>
      <c r="E20" s="70">
        <f>Notarial_Fee</f>
        <v>500</v>
      </c>
      <c r="F20" s="57"/>
      <c r="G20" s="54" t="s">
        <v>15</v>
      </c>
      <c r="H20" s="54"/>
      <c r="I20" s="58"/>
      <c r="J20" s="8"/>
      <c r="K20" s="8"/>
      <c r="L20" s="8"/>
      <c r="M20" s="8"/>
      <c r="N20" s="8"/>
      <c r="O20" s="8"/>
      <c r="P20" s="8"/>
      <c r="Q20" s="8"/>
      <c r="R20" s="8"/>
      <c r="U20" s="16"/>
    </row>
    <row r="21" spans="1:24" ht="20.25">
      <c r="A21" s="54" t="str">
        <f>'Master data Input'!B42</f>
        <v>MLRI -Insurance</v>
      </c>
      <c r="B21" s="54"/>
      <c r="C21" s="54"/>
      <c r="D21" s="54"/>
      <c r="E21" s="69">
        <f>'computation sheet'!C14</f>
        <v>0</v>
      </c>
      <c r="F21" s="57"/>
      <c r="G21" s="54"/>
      <c r="H21" s="54"/>
      <c r="I21" s="54"/>
      <c r="J21" s="8"/>
      <c r="K21" s="8"/>
      <c r="L21" s="8"/>
      <c r="M21" s="8"/>
      <c r="N21" s="8"/>
      <c r="O21" s="8"/>
      <c r="P21" s="8"/>
      <c r="Q21" s="8"/>
      <c r="R21" s="8"/>
      <c r="U21" s="16"/>
    </row>
    <row r="22" spans="1:24" ht="20.25">
      <c r="A22" s="54" t="str">
        <f>'Master data Input'!B45</f>
        <v>Miscellaneous</v>
      </c>
      <c r="B22" s="54"/>
      <c r="C22" s="64"/>
      <c r="D22" s="54"/>
      <c r="E22" s="70">
        <f>'Master data Input'!C45</f>
        <v>500</v>
      </c>
      <c r="F22" s="57"/>
      <c r="G22" s="54"/>
      <c r="H22" s="54"/>
      <c r="I22" s="54"/>
      <c r="J22" s="8"/>
      <c r="K22" s="8"/>
      <c r="L22" s="8">
        <f>DATEDIF(M10,M8,"D")</f>
        <v>244</v>
      </c>
      <c r="M22" s="8"/>
      <c r="N22" s="8"/>
      <c r="O22" s="8"/>
      <c r="P22" s="8"/>
      <c r="Q22" s="8"/>
      <c r="R22" s="8"/>
    </row>
    <row r="23" spans="1:24" ht="21" thickBot="1">
      <c r="A23" s="55" t="s">
        <v>9</v>
      </c>
      <c r="B23" s="54"/>
      <c r="C23" s="54"/>
      <c r="D23" s="54"/>
      <c r="E23" s="67">
        <f>SUM(E16:E22)</f>
        <v>8785.8382500000007</v>
      </c>
      <c r="F23" s="57"/>
      <c r="G23" s="54" t="s">
        <v>62</v>
      </c>
      <c r="H23" s="58" t="str">
        <f>"PN-"&amp;TEXT('Master data Input'!F10,"0000-  ")&amp;TEXT(" "," ")&amp;'Master data Input'!C14</f>
        <v>PN-. SML</v>
      </c>
      <c r="I23" s="58"/>
      <c r="J23" s="8"/>
      <c r="K23" s="8"/>
      <c r="L23" s="8">
        <f>DATEDIF(H8,M8,"D")</f>
        <v>259</v>
      </c>
      <c r="M23" s="8"/>
      <c r="N23" s="8"/>
      <c r="O23" s="8"/>
      <c r="P23" s="8"/>
      <c r="Q23" s="8"/>
      <c r="R23" s="8"/>
      <c r="U23" s="16">
        <f>DATE(YEAR(B46),MONTH(B46),DAY(B46)-30)</f>
        <v>46098</v>
      </c>
    </row>
    <row r="24" spans="1:24" ht="21" thickTop="1">
      <c r="F24" s="57"/>
      <c r="G24" s="54"/>
      <c r="H24" s="54"/>
      <c r="I24" s="54"/>
      <c r="J24" s="8"/>
      <c r="K24" s="8"/>
      <c r="L24" s="8"/>
      <c r="M24" s="8"/>
      <c r="N24" s="8"/>
      <c r="O24" s="8"/>
      <c r="P24" s="8"/>
      <c r="Q24" s="8"/>
      <c r="R24" s="8"/>
    </row>
    <row r="25" spans="1:24" ht="20.25">
      <c r="A25" s="68" t="s">
        <v>10</v>
      </c>
      <c r="B25" s="54"/>
      <c r="C25" s="54"/>
      <c r="D25" s="54"/>
      <c r="E25" s="54"/>
      <c r="F25" s="57"/>
      <c r="G25" s="54" t="s">
        <v>141</v>
      </c>
      <c r="H25" s="420">
        <f>'Master data Input'!F38</f>
        <v>0</v>
      </c>
      <c r="I25" s="420"/>
      <c r="J25" s="8"/>
      <c r="K25" s="8"/>
      <c r="L25" s="8"/>
      <c r="M25" s="8"/>
      <c r="N25" s="8"/>
      <c r="O25" s="8"/>
      <c r="P25" s="8" t="str">
        <f>TEXT($L$16,"0")&amp;"/"&amp;TEXT($L$17,"0")&amp;"/"&amp;TEXT($L$22,"0")&amp;"/"&amp;TEXT($L$23,"0")</f>
        <v>45/15/244/259</v>
      </c>
      <c r="Q25" s="8"/>
      <c r="R25" s="8"/>
      <c r="X25" s="3">
        <f>45000*0.15*(305/360)</f>
        <v>5718.75</v>
      </c>
    </row>
    <row r="26" spans="1:24" ht="20.25">
      <c r="A26" s="54" t="str">
        <f>Cash_Advance</f>
        <v>Cash Advance</v>
      </c>
      <c r="B26" s="54"/>
      <c r="C26" s="54"/>
      <c r="D26" s="54"/>
      <c r="E26" s="69">
        <f>Advanced_Payment</f>
        <v>0</v>
      </c>
      <c r="F26" s="57"/>
      <c r="J26" s="8"/>
      <c r="K26" s="8"/>
      <c r="L26" s="8">
        <f>DATEDIF(M10,B46,"d")</f>
        <v>30</v>
      </c>
      <c r="M26" s="8"/>
      <c r="N26" s="8"/>
      <c r="O26" s="8"/>
      <c r="P26" s="8"/>
      <c r="Q26" s="8"/>
      <c r="R26" s="8"/>
    </row>
    <row r="27" spans="1:24" ht="20.25">
      <c r="A27" s="54" t="str">
        <f>'Master data Input'!B12</f>
        <v>Outstanding Balance from previous loan</v>
      </c>
      <c r="B27" s="54"/>
      <c r="C27" s="54"/>
      <c r="D27" s="54"/>
      <c r="E27" s="85">
        <f>Outstanding_Balance_from_previous_loan</f>
        <v>0</v>
      </c>
      <c r="F27" s="57"/>
      <c r="G27" s="54"/>
      <c r="H27" s="54"/>
      <c r="I27" s="54"/>
      <c r="J27" s="8"/>
      <c r="K27" s="8"/>
      <c r="L27" s="8"/>
      <c r="M27" s="8"/>
      <c r="N27" s="8"/>
      <c r="O27" s="8"/>
      <c r="P27" s="8"/>
      <c r="Q27" s="8"/>
      <c r="R27" s="8"/>
    </row>
    <row r="28" spans="1:24" ht="21" thickBot="1">
      <c r="A28" s="54"/>
      <c r="B28" s="54"/>
      <c r="C28" s="54"/>
      <c r="D28" s="54"/>
      <c r="E28" s="71"/>
      <c r="F28" s="72">
        <f>Total_Finance_Charge+SUM($E$26:$E$28)</f>
        <v>8785.8382500000007</v>
      </c>
      <c r="G28" s="54"/>
      <c r="H28" s="54"/>
      <c r="I28" s="54"/>
      <c r="J28" s="8"/>
      <c r="K28" s="8"/>
      <c r="L28" s="8"/>
      <c r="M28" s="17"/>
      <c r="N28" s="17"/>
      <c r="O28" s="8"/>
      <c r="P28" s="18"/>
      <c r="Q28" s="8"/>
      <c r="R28" s="8"/>
    </row>
    <row r="29" spans="1:24" ht="21" thickTop="1">
      <c r="B29" s="54"/>
      <c r="C29" s="54"/>
      <c r="D29" s="54"/>
      <c r="F29" s="183"/>
      <c r="G29" s="54" t="s">
        <v>102</v>
      </c>
      <c r="H29" s="54"/>
      <c r="I29" s="58">
        <f>'Master data Input'!F42</f>
        <v>0</v>
      </c>
      <c r="J29" s="8"/>
      <c r="K29" s="8"/>
      <c r="L29" s="8"/>
      <c r="M29" s="8"/>
      <c r="N29" s="8"/>
      <c r="O29" s="8"/>
      <c r="P29" s="8"/>
      <c r="Q29" s="8"/>
      <c r="R29" s="8"/>
    </row>
    <row r="30" spans="1:24" ht="21" thickBot="1">
      <c r="A30" s="55" t="s">
        <v>12</v>
      </c>
      <c r="B30" s="54"/>
      <c r="C30" s="54"/>
      <c r="D30" s="54"/>
      <c r="E30" s="54"/>
      <c r="F30" s="72">
        <f>Principal_Amount-Total_Deduction</f>
        <v>72167.871750000006</v>
      </c>
      <c r="G30" s="54"/>
      <c r="H30" s="54"/>
      <c r="I30" s="54"/>
      <c r="J30" s="8"/>
      <c r="K30" s="8"/>
      <c r="L30" s="8"/>
      <c r="M30" s="8"/>
      <c r="N30" s="8"/>
      <c r="O30" s="8"/>
      <c r="P30" s="8"/>
      <c r="Q30" s="8"/>
      <c r="R30" s="8"/>
    </row>
    <row r="31" spans="1:24" ht="21" thickTop="1">
      <c r="B31" s="54"/>
      <c r="C31" s="54"/>
      <c r="D31" s="54"/>
      <c r="E31" s="54"/>
      <c r="F31" s="184"/>
      <c r="G31" s="54"/>
      <c r="H31" s="54"/>
      <c r="I31" s="54"/>
      <c r="J31" s="8"/>
      <c r="K31" s="8"/>
      <c r="L31" s="8"/>
      <c r="M31" s="8" t="s">
        <v>48</v>
      </c>
      <c r="N31" s="8"/>
      <c r="O31" s="8"/>
      <c r="P31" s="8"/>
      <c r="Q31" s="8"/>
      <c r="R31" s="8"/>
      <c r="U31" s="3" t="s">
        <v>43</v>
      </c>
    </row>
    <row r="32" spans="1:24" ht="20.25">
      <c r="A32" s="54" t="s">
        <v>13</v>
      </c>
      <c r="B32" s="54"/>
      <c r="C32" s="54"/>
      <c r="D32" s="54"/>
      <c r="E32" s="54"/>
      <c r="F32" s="185">
        <f>Total_Finance_Charge/Principal_Amount</f>
        <v>0.10852916129476957</v>
      </c>
      <c r="G32" s="54"/>
      <c r="H32" s="54"/>
      <c r="I32" s="54"/>
      <c r="J32" s="8"/>
      <c r="K32" s="8"/>
      <c r="L32" s="8"/>
      <c r="M32" s="8"/>
      <c r="N32" s="8"/>
      <c r="O32" s="8"/>
      <c r="P32" s="8"/>
      <c r="Q32" s="8"/>
      <c r="R32" s="8"/>
    </row>
    <row r="33" spans="1:47" ht="20.25">
      <c r="A33" s="54" t="s">
        <v>143</v>
      </c>
      <c r="B33" s="54"/>
      <c r="C33" s="54"/>
      <c r="D33" s="54"/>
      <c r="E33" s="54"/>
      <c r="F33" s="186">
        <f>Contractual_Rate</f>
        <v>3.6999999999999998E-2</v>
      </c>
      <c r="G33" s="54"/>
      <c r="H33" s="54"/>
      <c r="I33" s="54"/>
      <c r="J33" s="8"/>
      <c r="K33" s="8"/>
      <c r="L33" s="8"/>
      <c r="M33" s="8"/>
      <c r="N33" s="8"/>
      <c r="O33" s="8"/>
      <c r="P33" s="8"/>
      <c r="Q33" s="8"/>
      <c r="R33" s="8"/>
    </row>
    <row r="34" spans="1:47" ht="20.25">
      <c r="A34" s="54" t="s">
        <v>145</v>
      </c>
      <c r="B34" s="54"/>
      <c r="C34" s="54"/>
      <c r="D34" s="54"/>
      <c r="E34" s="54"/>
      <c r="F34" s="186">
        <f>Interest</f>
        <v>0.03</v>
      </c>
      <c r="G34" s="54"/>
      <c r="H34" s="54"/>
      <c r="I34" s="54"/>
      <c r="J34" s="8"/>
      <c r="K34" s="8"/>
      <c r="L34" s="8"/>
      <c r="M34" s="8"/>
      <c r="N34" s="8"/>
      <c r="O34" s="8"/>
      <c r="P34" s="8"/>
      <c r="Q34" s="8"/>
      <c r="R34" s="8"/>
    </row>
    <row r="35" spans="1:47" ht="20.25">
      <c r="A35" s="54" t="s">
        <v>138</v>
      </c>
      <c r="B35" s="54"/>
      <c r="C35" s="54"/>
      <c r="D35" s="54"/>
      <c r="E35" s="54"/>
      <c r="F35" s="185">
        <f>EIR</f>
        <v>0.66108799707812604</v>
      </c>
      <c r="G35" s="54"/>
      <c r="H35" s="54"/>
      <c r="I35" s="54"/>
      <c r="J35" s="19"/>
      <c r="K35" s="8"/>
      <c r="L35" s="8"/>
      <c r="M35" s="8" t="s">
        <v>51</v>
      </c>
      <c r="N35" s="8"/>
      <c r="O35" s="8"/>
      <c r="P35" s="8"/>
      <c r="Q35" s="8"/>
      <c r="R35" s="8"/>
    </row>
    <row r="36" spans="1:47" ht="20.25">
      <c r="A36" s="54" t="s">
        <v>117</v>
      </c>
      <c r="B36" s="54"/>
      <c r="C36" s="54"/>
      <c r="D36" s="54"/>
      <c r="E36" s="54"/>
      <c r="F36" s="185">
        <f>MIR</f>
        <v>6.5489268757437324E-2</v>
      </c>
      <c r="G36" s="54" t="s">
        <v>16</v>
      </c>
      <c r="H36" s="54"/>
      <c r="I36" s="229">
        <f>Date_Released</f>
        <v>46083</v>
      </c>
      <c r="J36" s="20"/>
      <c r="K36" s="20"/>
      <c r="L36" s="20"/>
      <c r="M36" s="20"/>
      <c r="N36" s="20"/>
      <c r="O36" s="20"/>
      <c r="P36" s="20"/>
      <c r="Q36" s="20"/>
      <c r="R36" s="20"/>
    </row>
    <row r="37" spans="1:47" ht="20.25">
      <c r="A37" s="54"/>
      <c r="B37" s="54"/>
      <c r="C37" s="54"/>
      <c r="D37" s="54"/>
      <c r="E37" s="54"/>
      <c r="F37" s="57"/>
      <c r="G37" s="54" t="s">
        <v>54</v>
      </c>
      <c r="H37" s="54" t="str">
        <f>UPPER(Agents)</f>
        <v/>
      </c>
      <c r="I37" s="54"/>
      <c r="J37" s="8"/>
      <c r="K37" s="8"/>
      <c r="L37" s="8"/>
      <c r="M37" s="8"/>
      <c r="N37" s="8"/>
      <c r="O37" s="8"/>
      <c r="P37" s="8"/>
      <c r="Q37" s="8"/>
      <c r="R37" s="8"/>
      <c r="Y37" s="21"/>
    </row>
    <row r="38" spans="1:47" ht="31.5" customHeight="1">
      <c r="A38" s="414" t="s">
        <v>139</v>
      </c>
      <c r="B38" s="414"/>
      <c r="C38" s="414"/>
      <c r="D38" s="414"/>
      <c r="E38" s="414"/>
      <c r="F38" s="414"/>
      <c r="G38" s="414"/>
      <c r="H38" s="414"/>
      <c r="I38" s="414"/>
      <c r="J38" s="14"/>
      <c r="K38" s="14"/>
      <c r="L38" s="14"/>
      <c r="M38" s="14"/>
      <c r="N38" s="14"/>
      <c r="O38" s="14"/>
      <c r="P38" s="14"/>
      <c r="Q38" s="14"/>
      <c r="R38" s="14"/>
    </row>
    <row r="39" spans="1:47" ht="21" hidden="1" thickBot="1">
      <c r="A39" s="54"/>
      <c r="B39" s="54"/>
      <c r="C39" s="54"/>
      <c r="D39" s="54"/>
      <c r="E39" s="54"/>
      <c r="F39" s="54"/>
      <c r="G39" s="54"/>
      <c r="H39" s="54"/>
      <c r="I39" s="54"/>
      <c r="J39" s="8"/>
      <c r="K39" s="8"/>
      <c r="L39" s="8"/>
      <c r="M39" s="8"/>
      <c r="N39" s="17">
        <f>C41+E16</f>
        <v>15263.616316385209</v>
      </c>
      <c r="O39" s="17">
        <v>11667</v>
      </c>
      <c r="P39" s="8"/>
      <c r="Q39" s="8"/>
      <c r="R39" s="8"/>
    </row>
    <row r="40" spans="1:47" ht="20.25" hidden="1">
      <c r="A40" s="421" t="s">
        <v>18</v>
      </c>
      <c r="B40" s="422"/>
      <c r="C40" s="421" t="s">
        <v>19</v>
      </c>
      <c r="D40" s="422"/>
      <c r="E40" s="104" t="s">
        <v>25</v>
      </c>
      <c r="F40" s="190"/>
      <c r="G40" s="191"/>
      <c r="H40" s="54"/>
      <c r="I40" s="8"/>
      <c r="J40" s="8"/>
      <c r="K40" s="8"/>
      <c r="L40" s="8"/>
      <c r="M40" s="8"/>
      <c r="N40" s="8"/>
      <c r="O40" s="8"/>
      <c r="P40" s="8"/>
      <c r="Q40" s="8"/>
      <c r="S40" s="4"/>
      <c r="T40" s="3"/>
      <c r="X40" s="22">
        <f>DATE(YEAR(U17),MONTH(U17)+1,DAY(U17))</f>
        <v>31</v>
      </c>
    </row>
    <row r="41" spans="1:47" ht="26.25" hidden="1" customHeight="1" thickBot="1">
      <c r="A41" s="406">
        <f>Principal_Amount</f>
        <v>80953.710000000006</v>
      </c>
      <c r="B41" s="407"/>
      <c r="C41" s="408">
        <f>'computation sheet'!C37</f>
        <v>14049.306316385209</v>
      </c>
      <c r="D41" s="409"/>
      <c r="E41" s="192">
        <f>IF(Type_of_Loan="BL-SA",Amount_of_Loan,Loan_Amount+Total_UII)</f>
        <v>95003.016316385212</v>
      </c>
      <c r="F41" s="193"/>
      <c r="G41" s="194"/>
      <c r="H41" s="54"/>
      <c r="I41" s="8"/>
      <c r="J41" s="23">
        <f>DATE(YEAR($B$46),MONTH($B$46)+($H$9-1),DAY($B$46))</f>
        <v>46342</v>
      </c>
      <c r="K41" s="8" t="s">
        <v>46</v>
      </c>
      <c r="L41" s="8"/>
      <c r="M41" s="8"/>
      <c r="N41" s="8"/>
      <c r="O41" s="8"/>
      <c r="P41" s="8"/>
      <c r="Q41" s="8"/>
      <c r="R41" s="21"/>
      <c r="S41" s="4"/>
      <c r="T41" s="3"/>
    </row>
    <row r="42" spans="1:47" ht="15.75" customHeight="1" thickBot="1">
      <c r="A42" s="189"/>
      <c r="B42" s="189"/>
      <c r="C42" s="189"/>
      <c r="D42" s="189"/>
      <c r="E42" s="60"/>
      <c r="F42" s="60"/>
      <c r="G42" s="60"/>
      <c r="H42" s="54"/>
      <c r="I42" s="8"/>
      <c r="J42" s="227"/>
      <c r="K42" s="8"/>
      <c r="L42" s="8"/>
      <c r="M42" s="8"/>
      <c r="N42" s="8"/>
      <c r="O42" s="8"/>
      <c r="P42" s="8"/>
      <c r="Q42" s="8"/>
      <c r="R42" s="21"/>
      <c r="S42" s="4"/>
      <c r="T42" s="3"/>
    </row>
    <row r="43" spans="1:47" ht="21.75" thickTop="1" thickBot="1">
      <c r="A43" s="209" t="s">
        <v>20</v>
      </c>
      <c r="B43" s="209" t="s">
        <v>21</v>
      </c>
      <c r="C43" s="209" t="s">
        <v>121</v>
      </c>
      <c r="D43" s="209" t="s">
        <v>69</v>
      </c>
      <c r="E43" s="209" t="s">
        <v>23</v>
      </c>
      <c r="F43" s="209" t="s">
        <v>24</v>
      </c>
      <c r="G43" s="410" t="s">
        <v>114</v>
      </c>
      <c r="H43" s="410"/>
      <c r="I43" s="209" t="s">
        <v>123</v>
      </c>
      <c r="J43" s="90"/>
      <c r="K43" s="136"/>
      <c r="L43" s="26"/>
      <c r="M43" s="8"/>
      <c r="N43" s="8"/>
      <c r="O43" s="8"/>
      <c r="P43" s="8"/>
      <c r="Q43" s="8"/>
      <c r="T43" s="3"/>
      <c r="AI43" s="27"/>
      <c r="AJ43" s="27"/>
      <c r="AK43" s="27"/>
      <c r="AL43" s="27"/>
      <c r="AM43" s="27"/>
      <c r="AN43" s="27"/>
      <c r="AO43" s="27"/>
      <c r="AP43" s="27"/>
      <c r="AQ43" s="27"/>
      <c r="AR43" s="28"/>
      <c r="AS43" s="28"/>
      <c r="AT43" s="28"/>
      <c r="AU43" s="28"/>
    </row>
    <row r="44" spans="1:47" ht="21" thickTop="1">
      <c r="A44" s="213"/>
      <c r="B44" s="213"/>
      <c r="C44" s="223">
        <f>Loan_Amount</f>
        <v>80953.710000000006</v>
      </c>
      <c r="D44" s="213"/>
      <c r="E44" s="213"/>
      <c r="F44" s="213"/>
      <c r="G44" s="411"/>
      <c r="H44" s="412"/>
      <c r="I44" s="208">
        <f>Loan_Amount</f>
        <v>80953.710000000006</v>
      </c>
      <c r="J44" s="90"/>
      <c r="K44" s="136"/>
      <c r="L44" s="26"/>
      <c r="M44" s="8"/>
      <c r="N44" s="8"/>
      <c r="O44" s="8"/>
      <c r="P44" s="8"/>
      <c r="Q44" s="8"/>
      <c r="T44" s="3"/>
      <c r="AI44" s="27"/>
      <c r="AJ44" s="27"/>
      <c r="AK44" s="27"/>
      <c r="AL44" s="27"/>
      <c r="AM44" s="27"/>
      <c r="AN44" s="27"/>
      <c r="AO44" s="27"/>
      <c r="AP44" s="27"/>
      <c r="AQ44" s="27"/>
      <c r="AR44" s="28"/>
      <c r="AS44" s="28"/>
      <c r="AT44" s="28"/>
      <c r="AU44" s="28"/>
    </row>
    <row r="45" spans="1:47" ht="20.25">
      <c r="A45" s="201">
        <v>0</v>
      </c>
      <c r="B45" s="341"/>
      <c r="C45" s="214"/>
      <c r="D45" s="214"/>
      <c r="E45" s="214"/>
      <c r="F45" s="214"/>
      <c r="G45" s="427">
        <f>'Monthly -client copy'!Total_Deduction</f>
        <v>8785.8382500000007</v>
      </c>
      <c r="H45" s="428"/>
      <c r="I45" s="202">
        <f>Loan_Amount</f>
        <v>80953.710000000006</v>
      </c>
      <c r="J45" s="90"/>
      <c r="K45" s="136"/>
      <c r="L45" s="26"/>
      <c r="M45" s="8"/>
      <c r="N45" s="8"/>
      <c r="O45" s="8"/>
      <c r="P45" s="8"/>
      <c r="Q45" s="8"/>
      <c r="T45" s="3"/>
      <c r="AI45" s="27"/>
      <c r="AJ45" s="27"/>
      <c r="AK45" s="27"/>
      <c r="AL45" s="27"/>
      <c r="AM45" s="27"/>
      <c r="AN45" s="27"/>
      <c r="AO45" s="27"/>
      <c r="AP45" s="27"/>
      <c r="AQ45" s="27"/>
      <c r="AR45" s="28"/>
      <c r="AS45" s="28"/>
      <c r="AT45" s="28"/>
      <c r="AU45" s="28"/>
    </row>
    <row r="46" spans="1:47" ht="20.25">
      <c r="A46" s="201">
        <v>1</v>
      </c>
      <c r="B46" s="342">
        <f>IF(A46="","",IF('computation sheet'!$L$32=26,(A46-1)*14+Start_Payment,IF('computation sheet'!$L$32=52,(A46-1)*7+Start_Payment,DATE(YEAR(Start_Payment),MONTH(Start_Payment)+(A46-1)*'computation sheet'!$M$32,IF('computation sheet'!$L$32=24,IF((MOD(A46-1,2))=1,DAY(Start_Payment)+15,DAY(Start_Payment)),DAY(Start_Payment))))))</f>
        <v>46128</v>
      </c>
      <c r="C46" s="198"/>
      <c r="D46" s="200">
        <f t="shared" ref="D46:D63" si="0">IF(PERIOD&lt;&gt;"",PMT($F$33,$A$67,-Principal_Amount),"")</f>
        <v>11875.37703954815</v>
      </c>
      <c r="E46" s="206">
        <f>'computation sheet'!E42</f>
        <v>2995.2872700000003</v>
      </c>
      <c r="F46" s="205">
        <f>IF(NOT(A46=AA24),D46-E46,"")</f>
        <v>8880.089769548149</v>
      </c>
      <c r="G46" s="424"/>
      <c r="H46" s="425"/>
      <c r="I46" s="202">
        <f t="shared" ref="I46:I59" si="1">IF(PERIOD&lt;&gt;"",(I45-F46),"")</f>
        <v>72073.620230451852</v>
      </c>
      <c r="J46" s="54"/>
      <c r="K46" s="135" t="str">
        <f>IF(WEEKDAY(L46,2)=1,"Monday",IF(WEEKDAY(L46,2)=2,"Tuesday",IF(WEEKDAY(L46,2)=3,"Wednesday",IF(WEEKDAY(L46,2)=4,"Thursday",IF(WEEKDAY(L46,2)=5,"Friday",IF(WEEKDAY(L46,2)=6,"Saturday",IF(WEEKDAY(L46,2)=7,"Sunday")))))))</f>
        <v>Thursday</v>
      </c>
      <c r="L46" s="32">
        <f>'Master data Input'!C30</f>
        <v>46128</v>
      </c>
      <c r="M46" s="8"/>
      <c r="N46" s="8"/>
      <c r="O46" s="8"/>
      <c r="P46" s="8"/>
      <c r="Q46" s="8"/>
      <c r="T46" s="3"/>
      <c r="AI46" s="27"/>
      <c r="AJ46" s="27"/>
      <c r="AK46" s="27"/>
      <c r="AL46" s="27"/>
      <c r="AM46" s="27"/>
      <c r="AN46" s="27"/>
      <c r="AO46" s="27"/>
      <c r="AP46" s="27"/>
      <c r="AQ46" s="27"/>
      <c r="AR46" s="28"/>
      <c r="AS46" s="28"/>
      <c r="AT46" s="28"/>
      <c r="AU46" s="28"/>
    </row>
    <row r="47" spans="1:47" ht="20.25">
      <c r="A47" s="201">
        <f t="shared" ref="A47:A63" si="2">IF(A46&lt;$H$9,A46+1,"")</f>
        <v>2</v>
      </c>
      <c r="B47" s="342">
        <f>IF(A47="","",IF('computation sheet'!$L$32=26,(A47-1)*14+Start_Payment,IF('computation sheet'!$L$32=52,(A47-1)*7+Start_Payment,DATE(YEAR(Start_Payment),MONTH(Start_Payment)+(A47-1)*'computation sheet'!$M$32,IF('computation sheet'!$L$32=24,IF((MOD(A47-1,2))=1,DAY(Start_Payment)+15,DAY(Start_Payment)),DAY(Start_Payment))))))</f>
        <v>46158</v>
      </c>
      <c r="C47" s="198"/>
      <c r="D47" s="200">
        <f t="shared" si="0"/>
        <v>11875.37703954815</v>
      </c>
      <c r="E47" s="206">
        <f>'computation sheet'!E43</f>
        <v>2666.7239485267182</v>
      </c>
      <c r="F47" s="205">
        <f>IF(NOT(A47=AA27),D47-E47,"")</f>
        <v>9208.6530910214315</v>
      </c>
      <c r="G47" s="424"/>
      <c r="H47" s="425"/>
      <c r="I47" s="202">
        <f t="shared" si="1"/>
        <v>62864.967139430417</v>
      </c>
      <c r="J47" s="54"/>
      <c r="K47" s="135" t="str">
        <f t="shared" ref="K47:K66" si="3">IF(WEEKDAY(L47,2)=1,"Monday",IF(WEEKDAY(L47,2)=2,"Tuesday",IF(WEEKDAY(L47,2)=3,"Wednesday",IF(WEEKDAY(L47,2)=4,"Thursday",IF(WEEKDAY(L47,2)=5,"Friday",IF(WEEKDAY(L47,2)=6,"Saturday",IF(WEEKDAY(L47,2)=7,"Sunday")))))))</f>
        <v>Saturday</v>
      </c>
      <c r="L47" s="32">
        <f t="shared" ref="L47:L59" si="4">IF(PERIOD&lt;&gt;"",IF(DATE(YEAR(L46),MONTH(L46),DAY(L46))&lt;=$J$41,DATE(YEAR(L46),MONTH(L46)+1,DAY(L46)),""),"")</f>
        <v>46158</v>
      </c>
      <c r="M47" s="8"/>
      <c r="N47" s="8"/>
      <c r="O47" s="8"/>
      <c r="P47" s="8"/>
      <c r="Q47" s="8"/>
      <c r="T47" s="3"/>
      <c r="AI47" s="27"/>
      <c r="AJ47" s="27"/>
      <c r="AK47" s="27"/>
      <c r="AL47" s="27"/>
      <c r="AM47" s="27"/>
      <c r="AN47" s="27"/>
      <c r="AO47" s="27"/>
      <c r="AP47" s="27"/>
      <c r="AQ47" s="27"/>
      <c r="AR47" s="28"/>
      <c r="AS47" s="28"/>
      <c r="AT47" s="28"/>
      <c r="AU47" s="28"/>
    </row>
    <row r="48" spans="1:47" ht="20.25">
      <c r="A48" s="201">
        <f t="shared" si="2"/>
        <v>3</v>
      </c>
      <c r="B48" s="342">
        <f>IF(A48="","",IF('computation sheet'!$L$32=26,(A48-1)*14+Start_Payment,IF('computation sheet'!$L$32=52,(A48-1)*7+Start_Payment,DATE(YEAR(Start_Payment),MONTH(Start_Payment)+(A48-1)*'computation sheet'!$M$32,IF('computation sheet'!$L$32=24,IF((MOD(A48-1,2))=1,DAY(Start_Payment)+15,DAY(Start_Payment)),DAY(Start_Payment))))))</f>
        <v>46189</v>
      </c>
      <c r="C48" s="198"/>
      <c r="D48" s="200">
        <f t="shared" si="0"/>
        <v>11875.37703954815</v>
      </c>
      <c r="E48" s="206">
        <f>'computation sheet'!E44</f>
        <v>2326.0037841589251</v>
      </c>
      <c r="F48" s="205">
        <f>IF(NOT(A48=AA29),D48-E48,"")</f>
        <v>9549.3732553892241</v>
      </c>
      <c r="G48" s="424"/>
      <c r="H48" s="425"/>
      <c r="I48" s="202">
        <f t="shared" si="1"/>
        <v>53315.593884041191</v>
      </c>
      <c r="J48" s="90"/>
      <c r="K48" s="135" t="str">
        <f t="shared" si="3"/>
        <v>Tuesday</v>
      </c>
      <c r="L48" s="32">
        <f t="shared" si="4"/>
        <v>46189</v>
      </c>
      <c r="M48" s="8"/>
      <c r="N48" s="8"/>
      <c r="O48" s="8"/>
      <c r="P48" s="8"/>
      <c r="Q48" s="8"/>
      <c r="T48" s="3"/>
      <c r="AI48" s="27"/>
      <c r="AJ48" s="27"/>
      <c r="AK48" s="27"/>
      <c r="AL48" s="27"/>
      <c r="AM48" s="27"/>
      <c r="AN48" s="27"/>
      <c r="AO48" s="27"/>
      <c r="AP48" s="27"/>
      <c r="AQ48" s="27"/>
      <c r="AR48" s="28"/>
      <c r="AS48" s="28"/>
      <c r="AT48" s="28"/>
      <c r="AU48" s="28"/>
    </row>
    <row r="49" spans="1:47" ht="20.25">
      <c r="A49" s="201">
        <f t="shared" si="2"/>
        <v>4</v>
      </c>
      <c r="B49" s="342">
        <f>IF(A49="","",IF('computation sheet'!$L$32=26,(A49-1)*14+Start_Payment,IF('computation sheet'!$L$32=52,(A49-1)*7+Start_Payment,DATE(YEAR(Start_Payment),MONTH(Start_Payment)+(A49-1)*'computation sheet'!$M$32,IF('computation sheet'!$L$32=24,IF((MOD(A49-1,2))=1,DAY(Start_Payment)+15,DAY(Start_Payment)),DAY(Start_Payment))))))</f>
        <v>46219</v>
      </c>
      <c r="C49" s="198"/>
      <c r="D49" s="200">
        <f t="shared" si="0"/>
        <v>11875.37703954815</v>
      </c>
      <c r="E49" s="206">
        <f>'computation sheet'!E45</f>
        <v>1972.676973709524</v>
      </c>
      <c r="F49" s="205">
        <f>IF(NOT(A49=AA30),D49-E49,"")</f>
        <v>9902.700065838626</v>
      </c>
      <c r="G49" s="424"/>
      <c r="H49" s="425"/>
      <c r="I49" s="202">
        <f t="shared" si="1"/>
        <v>43412.893818202567</v>
      </c>
      <c r="J49" s="90"/>
      <c r="K49" s="135" t="str">
        <f t="shared" si="3"/>
        <v>Thursday</v>
      </c>
      <c r="L49" s="32">
        <f t="shared" si="4"/>
        <v>46219</v>
      </c>
      <c r="M49" s="8"/>
      <c r="N49" s="8"/>
      <c r="O49" s="8"/>
      <c r="P49" s="8"/>
      <c r="Q49" s="8"/>
      <c r="T49" s="3"/>
      <c r="AI49" s="27"/>
      <c r="AJ49" s="27"/>
      <c r="AK49" s="27"/>
      <c r="AL49" s="27"/>
      <c r="AM49" s="27"/>
      <c r="AN49" s="27"/>
      <c r="AO49" s="27"/>
      <c r="AP49" s="27"/>
      <c r="AQ49" s="27"/>
      <c r="AR49" s="28"/>
      <c r="AS49" s="28"/>
      <c r="AT49" s="28"/>
      <c r="AU49" s="28"/>
    </row>
    <row r="50" spans="1:47" ht="20.25">
      <c r="A50" s="201">
        <f t="shared" si="2"/>
        <v>5</v>
      </c>
      <c r="B50" s="342">
        <f>IF(A50="","",IF('computation sheet'!$L$32=26,(A50-1)*14+Start_Payment,IF('computation sheet'!$L$32=52,(A50-1)*7+Start_Payment,DATE(YEAR(Start_Payment),MONTH(Start_Payment)+(A50-1)*'computation sheet'!$M$32,IF('computation sheet'!$L$32=24,IF((MOD(A50-1,2))=1,DAY(Start_Payment)+15,DAY(Start_Payment)),DAY(Start_Payment))))))</f>
        <v>46250</v>
      </c>
      <c r="C50" s="198"/>
      <c r="D50" s="200">
        <f t="shared" si="0"/>
        <v>11875.37703954815</v>
      </c>
      <c r="E50" s="206">
        <f>'computation sheet'!E46</f>
        <v>1606.2770712734948</v>
      </c>
      <c r="F50" s="205">
        <f>IF(NOT(A50=AA31),D50-E50,"")</f>
        <v>10269.099968274655</v>
      </c>
      <c r="G50" s="424"/>
      <c r="H50" s="425"/>
      <c r="I50" s="202">
        <f t="shared" si="1"/>
        <v>33143.793849927912</v>
      </c>
      <c r="J50" s="54"/>
      <c r="K50" s="135" t="str">
        <f t="shared" si="3"/>
        <v>Sunday</v>
      </c>
      <c r="L50" s="32">
        <f t="shared" si="4"/>
        <v>46250</v>
      </c>
      <c r="M50" s="8"/>
      <c r="N50" s="8"/>
      <c r="O50" s="8"/>
      <c r="P50" s="8"/>
      <c r="Q50" s="8"/>
      <c r="T50" s="3"/>
      <c r="AI50" s="27"/>
      <c r="AJ50" s="27"/>
      <c r="AK50" s="27"/>
      <c r="AL50" s="27"/>
      <c r="AM50" s="27"/>
      <c r="AN50" s="27"/>
      <c r="AO50" s="27"/>
      <c r="AP50" s="27"/>
      <c r="AQ50" s="27"/>
      <c r="AR50" s="28"/>
      <c r="AS50" s="28"/>
      <c r="AT50" s="28"/>
      <c r="AU50" s="28"/>
    </row>
    <row r="51" spans="1:47" ht="20.25">
      <c r="A51" s="201">
        <f t="shared" si="2"/>
        <v>6</v>
      </c>
      <c r="B51" s="342">
        <f>IF(A51="","",IF('computation sheet'!$L$32=26,(A51-1)*14+Start_Payment,IF('computation sheet'!$L$32=52,(A51-1)*7+Start_Payment,DATE(YEAR(Start_Payment),MONTH(Start_Payment)+(A51-1)*'computation sheet'!$M$32,IF('computation sheet'!$L$32=24,IF((MOD(A51-1,2))=1,DAY(Start_Payment)+15,DAY(Start_Payment)),DAY(Start_Payment))))))</f>
        <v>46281</v>
      </c>
      <c r="C51" s="198"/>
      <c r="D51" s="200">
        <f t="shared" si="0"/>
        <v>11875.37703954815</v>
      </c>
      <c r="E51" s="206">
        <f>'computation sheet'!E47</f>
        <v>1226.3203724473326</v>
      </c>
      <c r="F51" s="205">
        <f>IF(NOT(A51=AA32),D51-E51,"")</f>
        <v>10649.056667100816</v>
      </c>
      <c r="G51" s="424"/>
      <c r="H51" s="425"/>
      <c r="I51" s="202">
        <f t="shared" si="1"/>
        <v>22494.737182827095</v>
      </c>
      <c r="J51" s="90"/>
      <c r="K51" s="135" t="str">
        <f t="shared" si="3"/>
        <v>Wednesday</v>
      </c>
      <c r="L51" s="32">
        <f t="shared" si="4"/>
        <v>46281</v>
      </c>
      <c r="M51" s="8"/>
      <c r="N51" s="8"/>
      <c r="O51" s="8"/>
      <c r="P51" s="8"/>
      <c r="Q51" s="8"/>
      <c r="T51" s="3"/>
      <c r="AI51" s="27"/>
      <c r="AJ51" s="27"/>
      <c r="AK51" s="27"/>
      <c r="AL51" s="27"/>
      <c r="AM51" s="27"/>
      <c r="AN51" s="27"/>
      <c r="AO51" s="27"/>
      <c r="AP51" s="27"/>
      <c r="AQ51" s="27"/>
      <c r="AR51" s="28"/>
      <c r="AS51" s="28"/>
      <c r="AT51" s="28"/>
      <c r="AU51" s="28"/>
    </row>
    <row r="52" spans="1:47" ht="20.25">
      <c r="A52" s="201">
        <f t="shared" si="2"/>
        <v>7</v>
      </c>
      <c r="B52" s="342">
        <f>IF(A52="","",IF('computation sheet'!$L$32=26,(A52-1)*14+Start_Payment,IF('computation sheet'!$L$32=52,(A52-1)*7+Start_Payment,DATE(YEAR(Start_Payment),MONTH(Start_Payment)+(A52-1)*'computation sheet'!$M$32,IF('computation sheet'!$L$32=24,IF((MOD(A52-1,2))=1,DAY(Start_Payment)+15,DAY(Start_Payment)),DAY(Start_Payment))))))</f>
        <v>46311</v>
      </c>
      <c r="C52" s="198"/>
      <c r="D52" s="200">
        <f t="shared" si="0"/>
        <v>11875.37703954815</v>
      </c>
      <c r="E52" s="206">
        <f>'computation sheet'!E48</f>
        <v>832.30527576460247</v>
      </c>
      <c r="F52" s="205">
        <f>IF(NOT(A52=AA35),D52-E52,"")</f>
        <v>11043.071763783548</v>
      </c>
      <c r="G52" s="424"/>
      <c r="H52" s="425"/>
      <c r="I52" s="202">
        <f t="shared" si="1"/>
        <v>11451.665419043547</v>
      </c>
      <c r="J52" s="54"/>
      <c r="K52" s="135" t="str">
        <f t="shared" si="3"/>
        <v>Friday</v>
      </c>
      <c r="L52" s="32">
        <f t="shared" si="4"/>
        <v>46311</v>
      </c>
      <c r="M52" s="8"/>
      <c r="N52" s="8"/>
      <c r="O52" s="8"/>
      <c r="P52" s="8"/>
      <c r="Q52" s="8"/>
      <c r="T52" s="3"/>
      <c r="AI52" s="27"/>
      <c r="AJ52" s="27"/>
      <c r="AK52" s="27"/>
      <c r="AL52" s="27"/>
      <c r="AM52" s="27"/>
      <c r="AN52" s="27"/>
      <c r="AO52" s="27"/>
      <c r="AP52" s="27"/>
      <c r="AQ52" s="27"/>
      <c r="AR52" s="28"/>
      <c r="AS52" s="28"/>
      <c r="AT52" s="28"/>
      <c r="AU52" s="28"/>
    </row>
    <row r="53" spans="1:47" ht="20.25">
      <c r="A53" s="201">
        <f t="shared" si="2"/>
        <v>8</v>
      </c>
      <c r="B53" s="342">
        <f>IF(A53="","",IF('computation sheet'!$L$32=26,(A53-1)*14+Start_Payment,IF('computation sheet'!$L$32=52,(A53-1)*7+Start_Payment,DATE(YEAR(Start_Payment),MONTH(Start_Payment)+(A53-1)*'computation sheet'!$M$32,IF('computation sheet'!$L$32=24,IF((MOD(A53-1,2))=1,DAY(Start_Payment)+15,DAY(Start_Payment)),DAY(Start_Payment))))))</f>
        <v>46342</v>
      </c>
      <c r="C53" s="198"/>
      <c r="D53" s="200">
        <f t="shared" si="0"/>
        <v>11875.37703954815</v>
      </c>
      <c r="E53" s="206">
        <f>'computation sheet'!E49</f>
        <v>423.71162050461123</v>
      </c>
      <c r="F53" s="205">
        <f>IF(NOT(A53=AA36),D53-E53,"")</f>
        <v>11451.665419043538</v>
      </c>
      <c r="G53" s="424"/>
      <c r="H53" s="425"/>
      <c r="I53" s="202">
        <f t="shared" si="1"/>
        <v>9.0949470177292824E-12</v>
      </c>
      <c r="J53" s="54"/>
      <c r="K53" s="135" t="str">
        <f t="shared" si="3"/>
        <v>Monday</v>
      </c>
      <c r="L53" s="32">
        <f t="shared" si="4"/>
        <v>46342</v>
      </c>
      <c r="M53" s="8"/>
      <c r="N53" s="8"/>
      <c r="O53" s="8"/>
      <c r="P53" s="8"/>
      <c r="Q53" s="8"/>
      <c r="T53" s="3"/>
      <c r="AI53" s="27"/>
      <c r="AJ53" s="27"/>
      <c r="AK53" s="27"/>
      <c r="AL53" s="27"/>
      <c r="AM53" s="27"/>
      <c r="AN53" s="27"/>
      <c r="AO53" s="27"/>
      <c r="AP53" s="27"/>
      <c r="AQ53" s="27"/>
      <c r="AR53" s="28"/>
      <c r="AS53" s="28"/>
      <c r="AT53" s="28"/>
      <c r="AU53" s="28"/>
    </row>
    <row r="54" spans="1:47" ht="20.25">
      <c r="A54" s="201" t="str">
        <f t="shared" si="2"/>
        <v/>
      </c>
      <c r="B54" s="342" t="str">
        <f>IF(A54="","",IF('computation sheet'!$L$32=26,(A54-1)*14+Start_Payment,IF('computation sheet'!$L$32=52,(A54-1)*7+Start_Payment,DATE(YEAR(Start_Payment),MONTH(Start_Payment)+(A54-1)*'computation sheet'!$M$32,IF('computation sheet'!$L$32=24,IF((MOD(A54-1,2))=1,DAY(Start_Payment)+15,DAY(Start_Payment)),DAY(Start_Payment))))))</f>
        <v/>
      </c>
      <c r="C54" s="198"/>
      <c r="D54" s="200" t="str">
        <f t="shared" si="0"/>
        <v/>
      </c>
      <c r="E54" s="206" t="str">
        <f>'computation sheet'!E50</f>
        <v/>
      </c>
      <c r="F54" s="205" t="str">
        <f>IF(NOT(A54=AA37),D54-E54,"")</f>
        <v/>
      </c>
      <c r="G54" s="424"/>
      <c r="H54" s="425"/>
      <c r="I54" s="202" t="str">
        <f t="shared" si="1"/>
        <v/>
      </c>
      <c r="J54" s="54"/>
      <c r="K54" s="135" t="e">
        <f t="shared" si="3"/>
        <v>#VALUE!</v>
      </c>
      <c r="L54" s="32" t="str">
        <f t="shared" si="4"/>
        <v/>
      </c>
      <c r="M54" s="8"/>
      <c r="N54" s="8"/>
      <c r="O54" s="8"/>
      <c r="P54" s="8"/>
      <c r="Q54" s="8"/>
      <c r="T54" s="33"/>
      <c r="AI54" s="27"/>
      <c r="AJ54" s="27"/>
      <c r="AK54" s="27"/>
      <c r="AL54" s="27"/>
      <c r="AM54" s="27"/>
      <c r="AN54" s="27"/>
      <c r="AO54" s="27"/>
      <c r="AP54" s="27"/>
      <c r="AQ54" s="27"/>
      <c r="AR54" s="28"/>
      <c r="AS54" s="28"/>
      <c r="AT54" s="28"/>
      <c r="AU54" s="28"/>
    </row>
    <row r="55" spans="1:47" ht="20.25">
      <c r="A55" s="201" t="str">
        <f t="shared" si="2"/>
        <v/>
      </c>
      <c r="B55" s="342" t="str">
        <f>IF(A55="","",IF('computation sheet'!$L$32=26,(A55-1)*14+Start_Payment,IF('computation sheet'!$L$32=52,(A55-1)*7+Start_Payment,DATE(YEAR(Start_Payment),MONTH(Start_Payment)+(A55-1)*'computation sheet'!$M$32,IF('computation sheet'!$L$32=24,IF((MOD(A55-1,2))=1,DAY(Start_Payment)+15,DAY(Start_Payment)),DAY(Start_Payment))))))</f>
        <v/>
      </c>
      <c r="C55" s="198"/>
      <c r="D55" s="200" t="str">
        <f t="shared" si="0"/>
        <v/>
      </c>
      <c r="E55" s="206" t="str">
        <f>'computation sheet'!E51</f>
        <v/>
      </c>
      <c r="F55" s="205" t="str">
        <f>IF(NOT(A55=AA38),D55-E55,"")</f>
        <v/>
      </c>
      <c r="G55" s="424"/>
      <c r="H55" s="425"/>
      <c r="I55" s="202" t="str">
        <f t="shared" si="1"/>
        <v/>
      </c>
      <c r="J55" s="54"/>
      <c r="K55" s="135" t="e">
        <f t="shared" si="3"/>
        <v>#VALUE!</v>
      </c>
      <c r="L55" s="32" t="str">
        <f t="shared" si="4"/>
        <v/>
      </c>
      <c r="M55" s="8"/>
      <c r="N55" s="8"/>
      <c r="O55" s="8"/>
      <c r="P55" s="8"/>
      <c r="Q55" s="8"/>
      <c r="T55" s="3"/>
      <c r="AI55" s="27"/>
      <c r="AJ55" s="27"/>
      <c r="AK55" s="27"/>
      <c r="AL55" s="27"/>
      <c r="AM55" s="27"/>
      <c r="AN55" s="27"/>
      <c r="AO55" s="27"/>
      <c r="AP55" s="27"/>
      <c r="AQ55" s="27"/>
      <c r="AR55" s="28"/>
      <c r="AS55" s="28"/>
      <c r="AT55" s="28"/>
      <c r="AU55" s="28"/>
    </row>
    <row r="56" spans="1:47" ht="20.25">
      <c r="A56" s="201" t="str">
        <f t="shared" si="2"/>
        <v/>
      </c>
      <c r="B56" s="342" t="str">
        <f>IF(A56="","",IF('computation sheet'!$L$32=26,(A56-1)*14+Start_Payment,IF('computation sheet'!$L$32=52,(A56-1)*7+Start_Payment,DATE(YEAR(Start_Payment),MONTH(Start_Payment)+(A56-1)*'computation sheet'!$M$32,IF('computation sheet'!$L$32=24,IF((MOD(A56-1,2))=1,DAY(Start_Payment)+15,DAY(Start_Payment)),DAY(Start_Payment))))))</f>
        <v/>
      </c>
      <c r="C56" s="198"/>
      <c r="D56" s="200" t="str">
        <f t="shared" si="0"/>
        <v/>
      </c>
      <c r="E56" s="206" t="str">
        <f>'computation sheet'!E52</f>
        <v/>
      </c>
      <c r="F56" s="205" t="str">
        <f t="shared" ref="F56:F59" si="5">IF(NOT(A56=AA39),D56-E56,"")</f>
        <v/>
      </c>
      <c r="G56" s="424"/>
      <c r="H56" s="425"/>
      <c r="I56" s="202" t="str">
        <f t="shared" si="1"/>
        <v/>
      </c>
      <c r="J56" s="54"/>
      <c r="K56" s="135" t="e">
        <f t="shared" si="3"/>
        <v>#VALUE!</v>
      </c>
      <c r="L56" s="32" t="str">
        <f t="shared" si="4"/>
        <v/>
      </c>
      <c r="M56" s="8"/>
      <c r="N56" s="8"/>
      <c r="O56" s="8"/>
      <c r="P56" s="8"/>
      <c r="Q56" s="8"/>
      <c r="T56" s="3"/>
      <c r="AI56" s="27"/>
      <c r="AJ56" s="27"/>
      <c r="AK56" s="27"/>
      <c r="AL56" s="27"/>
      <c r="AM56" s="27"/>
      <c r="AN56" s="27"/>
      <c r="AO56" s="27"/>
      <c r="AP56" s="27"/>
      <c r="AQ56" s="27"/>
      <c r="AR56" s="28"/>
      <c r="AS56" s="28"/>
      <c r="AT56" s="28"/>
      <c r="AU56" s="28"/>
    </row>
    <row r="57" spans="1:47" ht="20.25">
      <c r="A57" s="201" t="str">
        <f t="shared" si="2"/>
        <v/>
      </c>
      <c r="B57" s="342" t="str">
        <f>IF(A57="","",IF('computation sheet'!$L$32=26,(A57-1)*14+Start_Payment,IF('computation sheet'!$L$32=52,(A57-1)*7+Start_Payment,DATE(YEAR(Start_Payment),MONTH(Start_Payment)+(A57-1)*'computation sheet'!$M$32,IF('computation sheet'!$L$32=24,IF((MOD(A57-1,2))=1,DAY(Start_Payment)+15,DAY(Start_Payment)),DAY(Start_Payment))))))</f>
        <v/>
      </c>
      <c r="C57" s="198"/>
      <c r="D57" s="200" t="str">
        <f t="shared" si="0"/>
        <v/>
      </c>
      <c r="E57" s="206" t="str">
        <f>'computation sheet'!E53</f>
        <v/>
      </c>
      <c r="F57" s="205" t="str">
        <f t="shared" si="5"/>
        <v/>
      </c>
      <c r="G57" s="424"/>
      <c r="H57" s="425"/>
      <c r="I57" s="202" t="str">
        <f t="shared" si="1"/>
        <v/>
      </c>
      <c r="J57" s="199"/>
      <c r="K57" s="135" t="e">
        <f t="shared" si="3"/>
        <v>#VALUE!</v>
      </c>
      <c r="L57" s="32" t="str">
        <f t="shared" si="4"/>
        <v/>
      </c>
      <c r="M57" s="8"/>
      <c r="N57" s="8"/>
      <c r="O57" s="8"/>
      <c r="P57" s="8"/>
      <c r="Q57" s="8"/>
      <c r="T57" s="3"/>
      <c r="AI57" s="27"/>
      <c r="AJ57" s="27"/>
      <c r="AK57" s="27"/>
      <c r="AL57" s="27"/>
      <c r="AM57" s="27"/>
      <c r="AN57" s="27"/>
      <c r="AO57" s="27"/>
      <c r="AP57" s="27"/>
      <c r="AQ57" s="27"/>
      <c r="AR57" s="28"/>
      <c r="AS57" s="28"/>
      <c r="AT57" s="28"/>
      <c r="AU57" s="28"/>
    </row>
    <row r="58" spans="1:47" ht="20.25">
      <c r="A58" s="201" t="str">
        <f t="shared" si="2"/>
        <v/>
      </c>
      <c r="B58" s="342" t="str">
        <f>IF(A58="","",IF('computation sheet'!$L$32=26,(A58-1)*14+Start_Payment,IF('computation sheet'!$L$32=52,(A58-1)*7+Start_Payment,DATE(YEAR(Start_Payment),MONTH(Start_Payment)+(A58-1)*'computation sheet'!$M$32,IF('computation sheet'!$L$32=24,IF((MOD(A58-1,2))=1,DAY(Start_Payment)+15,DAY(Start_Payment)),DAY(Start_Payment))))))</f>
        <v/>
      </c>
      <c r="C58" s="198"/>
      <c r="D58" s="200" t="str">
        <f t="shared" si="0"/>
        <v/>
      </c>
      <c r="E58" s="206" t="str">
        <f>'computation sheet'!E54</f>
        <v/>
      </c>
      <c r="F58" s="205" t="str">
        <f t="shared" si="5"/>
        <v/>
      </c>
      <c r="G58" s="424"/>
      <c r="H58" s="425"/>
      <c r="I58" s="202" t="str">
        <f t="shared" si="1"/>
        <v/>
      </c>
      <c r="J58" s="85"/>
      <c r="K58" s="135" t="e">
        <f t="shared" si="3"/>
        <v>#VALUE!</v>
      </c>
      <c r="L58" s="32" t="str">
        <f t="shared" si="4"/>
        <v/>
      </c>
      <c r="M58" s="8"/>
      <c r="N58" s="8"/>
      <c r="O58" s="8"/>
      <c r="P58" s="8"/>
      <c r="T58" s="3"/>
      <c r="AI58" s="27"/>
      <c r="AJ58" s="27"/>
      <c r="AK58" s="27"/>
      <c r="AL58" s="27"/>
      <c r="AM58" s="27"/>
      <c r="AN58" s="27"/>
      <c r="AO58" s="27"/>
      <c r="AP58" s="27"/>
      <c r="AQ58" s="27"/>
      <c r="AR58" s="28"/>
      <c r="AS58" s="28"/>
      <c r="AT58" s="28"/>
    </row>
    <row r="59" spans="1:47" ht="20.25">
      <c r="A59" s="201" t="str">
        <f t="shared" si="2"/>
        <v/>
      </c>
      <c r="B59" s="342" t="str">
        <f>IF(A59="","",IF('computation sheet'!$L$32=26,(A59-1)*14+Start_Payment,IF('computation sheet'!$L$32=52,(A59-1)*7+Start_Payment,DATE(YEAR(Start_Payment),MONTH(Start_Payment)+(A59-1)*'computation sheet'!$M$32,IF('computation sheet'!$L$32=24,IF((MOD(A59-1,2))=1,DAY(Start_Payment)+15,DAY(Start_Payment)),DAY(Start_Payment))))))</f>
        <v/>
      </c>
      <c r="C59" s="198"/>
      <c r="D59" s="200" t="str">
        <f t="shared" si="0"/>
        <v/>
      </c>
      <c r="E59" s="206" t="str">
        <f>'computation sheet'!E55</f>
        <v/>
      </c>
      <c r="F59" s="205" t="str">
        <f t="shared" si="5"/>
        <v/>
      </c>
      <c r="G59" s="424"/>
      <c r="H59" s="425"/>
      <c r="I59" s="202" t="str">
        <f t="shared" si="1"/>
        <v/>
      </c>
      <c r="J59" s="85"/>
      <c r="K59" s="135" t="e">
        <f t="shared" si="3"/>
        <v>#VALUE!</v>
      </c>
      <c r="L59" s="32" t="str">
        <f t="shared" si="4"/>
        <v/>
      </c>
      <c r="M59" s="8"/>
      <c r="N59" s="8"/>
      <c r="O59" s="8"/>
      <c r="P59" s="8"/>
      <c r="T59" s="3"/>
      <c r="AI59" s="27"/>
      <c r="AJ59" s="27"/>
      <c r="AK59" s="27"/>
      <c r="AL59" s="27"/>
      <c r="AM59" s="27"/>
      <c r="AN59" s="27"/>
      <c r="AO59" s="27"/>
      <c r="AP59" s="27"/>
      <c r="AQ59" s="27"/>
      <c r="AR59" s="28"/>
      <c r="AS59" s="28"/>
      <c r="AT59" s="28"/>
    </row>
    <row r="60" spans="1:47" ht="20.25">
      <c r="A60" s="201" t="str">
        <f t="shared" si="2"/>
        <v/>
      </c>
      <c r="B60" s="342" t="str">
        <f>IF(A60="","",IF('computation sheet'!$L$32=26,(A60-1)*14+Start_Payment,IF('computation sheet'!$L$32=52,(A60-1)*7+Start_Payment,DATE(YEAR(Start_Payment),MONTH(Start_Payment)+(A60-1)*'computation sheet'!$M$32,IF('computation sheet'!$L$32=24,IF((MOD(A60-1,2))=1,DAY(Start_Payment)+15,DAY(Start_Payment)),DAY(Start_Payment))))))</f>
        <v/>
      </c>
      <c r="C60" s="198"/>
      <c r="D60" s="200" t="str">
        <f t="shared" si="0"/>
        <v/>
      </c>
      <c r="E60" s="206" t="str">
        <f>'computation sheet'!E56</f>
        <v/>
      </c>
      <c r="F60" s="205" t="str">
        <f t="shared" ref="F60:F63" si="6">IF(NOT(A60=AA43),D60-E60,"")</f>
        <v/>
      </c>
      <c r="G60" s="424"/>
      <c r="H60" s="425"/>
      <c r="I60" s="202" t="str">
        <f t="shared" ref="I60:I63" si="7">IF(PERIOD&lt;&gt;"",(I59-F60),"")</f>
        <v/>
      </c>
      <c r="J60" s="85"/>
      <c r="K60" s="135"/>
      <c r="L60" s="32"/>
      <c r="M60" s="8"/>
      <c r="N60" s="8"/>
      <c r="O60" s="8"/>
      <c r="P60" s="8"/>
      <c r="T60" s="3"/>
      <c r="AI60" s="27"/>
      <c r="AJ60" s="27"/>
      <c r="AK60" s="27"/>
      <c r="AL60" s="27"/>
      <c r="AM60" s="27"/>
      <c r="AN60" s="27"/>
      <c r="AO60" s="27"/>
      <c r="AP60" s="27"/>
      <c r="AQ60" s="27"/>
      <c r="AR60" s="28"/>
      <c r="AS60" s="28"/>
      <c r="AT60" s="28"/>
    </row>
    <row r="61" spans="1:47" ht="20.25">
      <c r="A61" s="201" t="str">
        <f t="shared" si="2"/>
        <v/>
      </c>
      <c r="B61" s="342" t="str">
        <f>IF(A61="","",IF('computation sheet'!$L$32=26,(A61-1)*14+Start_Payment,IF('computation sheet'!$L$32=52,(A61-1)*7+Start_Payment,DATE(YEAR(Start_Payment),MONTH(Start_Payment)+(A61-1)*'computation sheet'!$M$32,IF('computation sheet'!$L$32=24,IF((MOD(A61-1,2))=1,DAY(Start_Payment)+15,DAY(Start_Payment)),DAY(Start_Payment))))))</f>
        <v/>
      </c>
      <c r="C61" s="198"/>
      <c r="D61" s="200" t="str">
        <f t="shared" si="0"/>
        <v/>
      </c>
      <c r="E61" s="206" t="str">
        <f>'computation sheet'!E57</f>
        <v/>
      </c>
      <c r="F61" s="205" t="str">
        <f t="shared" si="6"/>
        <v/>
      </c>
      <c r="G61" s="424"/>
      <c r="H61" s="425"/>
      <c r="I61" s="202" t="str">
        <f t="shared" si="7"/>
        <v/>
      </c>
      <c r="J61" s="85"/>
      <c r="K61" s="135"/>
      <c r="L61" s="32"/>
      <c r="M61" s="8"/>
      <c r="N61" s="8"/>
      <c r="O61" s="8"/>
      <c r="P61" s="8"/>
      <c r="T61" s="3"/>
      <c r="AI61" s="27"/>
      <c r="AJ61" s="27"/>
      <c r="AK61" s="27"/>
      <c r="AL61" s="27"/>
      <c r="AM61" s="27"/>
      <c r="AN61" s="27"/>
      <c r="AO61" s="27"/>
      <c r="AP61" s="27"/>
      <c r="AQ61" s="27"/>
      <c r="AR61" s="28"/>
      <c r="AS61" s="28"/>
      <c r="AT61" s="28"/>
    </row>
    <row r="62" spans="1:47" ht="20.25">
      <c r="A62" s="201" t="str">
        <f t="shared" si="2"/>
        <v/>
      </c>
      <c r="B62" s="342" t="str">
        <f>IF(A62="","",IF('computation sheet'!$L$32=26,(A62-1)*14+Start_Payment,IF('computation sheet'!$L$32=52,(A62-1)*7+Start_Payment,DATE(YEAR(Start_Payment),MONTH(Start_Payment)+(A62-1)*'computation sheet'!$M$32,IF('computation sheet'!$L$32=24,IF((MOD(A62-1,2))=1,DAY(Start_Payment)+15,DAY(Start_Payment)),DAY(Start_Payment))))))</f>
        <v/>
      </c>
      <c r="C62" s="198"/>
      <c r="D62" s="200" t="str">
        <f t="shared" si="0"/>
        <v/>
      </c>
      <c r="E62" s="206" t="str">
        <f>'computation sheet'!E58</f>
        <v/>
      </c>
      <c r="F62" s="205" t="str">
        <f t="shared" si="6"/>
        <v/>
      </c>
      <c r="G62" s="424"/>
      <c r="H62" s="425"/>
      <c r="I62" s="202" t="str">
        <f t="shared" si="7"/>
        <v/>
      </c>
      <c r="J62" s="85"/>
      <c r="K62" s="135"/>
      <c r="L62" s="32"/>
      <c r="M62" s="8"/>
      <c r="N62" s="8"/>
      <c r="O62" s="8"/>
      <c r="P62" s="8"/>
      <c r="T62" s="3"/>
      <c r="AI62" s="27"/>
      <c r="AJ62" s="27"/>
      <c r="AK62" s="27"/>
      <c r="AL62" s="27"/>
      <c r="AM62" s="27"/>
      <c r="AN62" s="27"/>
      <c r="AO62" s="27"/>
      <c r="AP62" s="27"/>
      <c r="AQ62" s="27"/>
      <c r="AR62" s="28"/>
      <c r="AS62" s="28"/>
      <c r="AT62" s="28"/>
    </row>
    <row r="63" spans="1:47" ht="20.25">
      <c r="A63" s="201" t="str">
        <f t="shared" si="2"/>
        <v/>
      </c>
      <c r="B63" s="342" t="str">
        <f>IF(A63="","",IF('computation sheet'!$L$32=26,(A63-1)*14+Start_Payment,IF('computation sheet'!$L$32=52,(A63-1)*7+Start_Payment,DATE(YEAR(Start_Payment),MONTH(Start_Payment)+(A63-1)*'computation sheet'!$M$32,IF('computation sheet'!$L$32=24,IF((MOD(A63-1,2))=1,DAY(Start_Payment)+15,DAY(Start_Payment)),DAY(Start_Payment))))))</f>
        <v/>
      </c>
      <c r="C63" s="198"/>
      <c r="D63" s="200" t="str">
        <f t="shared" si="0"/>
        <v/>
      </c>
      <c r="E63" s="206" t="str">
        <f>'computation sheet'!E59</f>
        <v/>
      </c>
      <c r="F63" s="205" t="str">
        <f t="shared" si="6"/>
        <v/>
      </c>
      <c r="G63" s="424"/>
      <c r="H63" s="425"/>
      <c r="I63" s="202" t="str">
        <f t="shared" si="7"/>
        <v/>
      </c>
      <c r="J63" s="85"/>
      <c r="K63" s="135"/>
      <c r="L63" s="32"/>
      <c r="M63" s="8"/>
      <c r="N63" s="8"/>
      <c r="O63" s="8"/>
      <c r="P63" s="8"/>
      <c r="T63" s="3"/>
      <c r="AI63" s="27"/>
      <c r="AJ63" s="27"/>
      <c r="AK63" s="27"/>
      <c r="AL63" s="27"/>
      <c r="AM63" s="27"/>
      <c r="AN63" s="27"/>
      <c r="AO63" s="27"/>
      <c r="AP63" s="27"/>
      <c r="AQ63" s="27"/>
      <c r="AR63" s="28"/>
      <c r="AS63" s="28"/>
      <c r="AT63" s="28"/>
    </row>
    <row r="64" spans="1:47" ht="20.25">
      <c r="A64" s="201"/>
      <c r="B64" s="342"/>
      <c r="C64" s="198"/>
      <c r="D64" s="200"/>
      <c r="E64" s="206"/>
      <c r="F64" s="205"/>
      <c r="G64" s="348"/>
      <c r="H64" s="349"/>
      <c r="I64" s="202"/>
      <c r="J64" s="85"/>
      <c r="K64" s="135"/>
      <c r="L64" s="32"/>
      <c r="M64" s="8"/>
      <c r="N64" s="8"/>
      <c r="O64" s="8"/>
      <c r="P64" s="8"/>
      <c r="T64" s="3"/>
      <c r="AI64" s="27"/>
      <c r="AJ64" s="27"/>
      <c r="AK64" s="27"/>
      <c r="AL64" s="27"/>
      <c r="AM64" s="27"/>
      <c r="AN64" s="27"/>
      <c r="AO64" s="27"/>
      <c r="AP64" s="27"/>
      <c r="AQ64" s="27"/>
      <c r="AR64" s="28"/>
      <c r="AS64" s="28"/>
      <c r="AT64" s="28"/>
    </row>
    <row r="65" spans="1:46" ht="20.25">
      <c r="A65" s="201"/>
      <c r="B65" s="342"/>
      <c r="C65" s="198"/>
      <c r="D65" s="200"/>
      <c r="E65" s="206"/>
      <c r="F65" s="205"/>
      <c r="G65" s="348"/>
      <c r="H65" s="349"/>
      <c r="I65" s="202"/>
      <c r="J65" s="85"/>
      <c r="K65" s="135"/>
      <c r="L65" s="32"/>
      <c r="M65" s="8"/>
      <c r="N65" s="8"/>
      <c r="O65" s="8"/>
      <c r="P65" s="8"/>
      <c r="T65" s="3"/>
      <c r="AI65" s="27"/>
      <c r="AJ65" s="27"/>
      <c r="AK65" s="27"/>
      <c r="AL65" s="27"/>
      <c r="AM65" s="27"/>
      <c r="AN65" s="27"/>
      <c r="AO65" s="27"/>
      <c r="AP65" s="27"/>
      <c r="AQ65" s="27"/>
      <c r="AR65" s="28"/>
      <c r="AS65" s="28"/>
      <c r="AT65" s="28"/>
    </row>
    <row r="66" spans="1:46" ht="20.25">
      <c r="A66" s="201"/>
      <c r="B66" s="342"/>
      <c r="C66" s="198"/>
      <c r="D66" s="200"/>
      <c r="E66" s="206"/>
      <c r="F66" s="205"/>
      <c r="G66" s="424"/>
      <c r="H66" s="425"/>
      <c r="I66" s="202"/>
      <c r="J66" s="85"/>
      <c r="K66" s="135" t="e">
        <f t="shared" si="3"/>
        <v>#VALUE!</v>
      </c>
      <c r="L66" s="32" t="str">
        <f>IF(PERIOD&lt;&gt;"",IF(DATE(YEAR(L59),MONTH(L59),DAY(L59))&lt;=$J$41,DATE(YEAR(L59),MONTH(L59)+1,DAY(L59)),""),"")</f>
        <v/>
      </c>
      <c r="M66" s="8"/>
      <c r="N66" s="8"/>
      <c r="O66" s="8"/>
      <c r="P66" s="8"/>
      <c r="T66" s="3"/>
      <c r="AI66" s="27"/>
      <c r="AJ66" s="27"/>
      <c r="AK66" s="27"/>
      <c r="AL66" s="27"/>
      <c r="AM66" s="27"/>
      <c r="AN66" s="27"/>
      <c r="AO66" s="27"/>
      <c r="AP66" s="27"/>
      <c r="AQ66" s="27"/>
      <c r="AR66" s="28"/>
      <c r="AS66" s="28"/>
      <c r="AT66" s="28"/>
    </row>
    <row r="67" spans="1:46" ht="20.25">
      <c r="A67" s="203">
        <f>H9</f>
        <v>8</v>
      </c>
      <c r="B67" s="203"/>
      <c r="C67" s="203"/>
      <c r="D67" s="204">
        <f>SUM(D46:D66)</f>
        <v>95003.016316385212</v>
      </c>
      <c r="E67" s="204">
        <f>SUM(E46:E66)</f>
        <v>14049.306316385209</v>
      </c>
      <c r="F67" s="204">
        <f>SUM(F46:F66)</f>
        <v>80953.709999999992</v>
      </c>
      <c r="G67" s="426"/>
      <c r="H67" s="426"/>
      <c r="I67" s="204"/>
      <c r="J67" s="85"/>
      <c r="K67" s="136"/>
      <c r="L67" s="26"/>
      <c r="M67" s="8"/>
      <c r="N67" s="8"/>
      <c r="O67" s="8"/>
      <c r="P67" s="8"/>
      <c r="T67" s="3"/>
      <c r="AI67" s="27"/>
      <c r="AJ67" s="27"/>
      <c r="AK67" s="27"/>
      <c r="AL67" s="27"/>
      <c r="AM67" s="27"/>
      <c r="AN67" s="27"/>
      <c r="AO67" s="27"/>
      <c r="AP67" s="27"/>
      <c r="AQ67" s="27"/>
      <c r="AR67" s="28"/>
      <c r="AS67" s="28"/>
      <c r="AT67" s="28"/>
    </row>
    <row r="68" spans="1:46" ht="7.5" customHeight="1">
      <c r="A68" s="8"/>
      <c r="B68" s="8"/>
      <c r="C68" s="8"/>
      <c r="D68" s="8"/>
      <c r="E68" s="8"/>
      <c r="F68" s="34"/>
      <c r="G68" s="8"/>
      <c r="H68" s="34"/>
      <c r="I68" s="8"/>
      <c r="J68" s="8"/>
      <c r="K68" s="8"/>
      <c r="L68" s="8"/>
      <c r="M68" s="8"/>
      <c r="N68" s="8"/>
      <c r="O68" s="8"/>
      <c r="P68" s="8"/>
      <c r="Q68" s="8"/>
      <c r="R68" s="8"/>
    </row>
    <row r="69" spans="1:46" ht="22.5" customHeight="1">
      <c r="A69" s="399" t="str">
        <f>"Interest Rate of " &amp; (Contractual_Rate*100) &amp;"% is equivalent to the Add On Rate of " &amp; ROUND((((((Total_InterestRate/Principal_Amount)/Monthly_Inst))))*100,2) &amp; "% per Month"</f>
        <v>Interest Rate of 3.7% is equivalent to the Add On Rate of 2.17% per Month</v>
      </c>
      <c r="B69" s="399"/>
      <c r="C69" s="399"/>
      <c r="D69" s="399"/>
      <c r="E69" s="399"/>
      <c r="F69" s="399"/>
      <c r="G69" s="399"/>
      <c r="H69" s="399"/>
      <c r="I69" s="399"/>
      <c r="J69" s="8"/>
      <c r="K69" s="8"/>
      <c r="L69" s="8"/>
      <c r="N69" s="8"/>
      <c r="O69" s="8"/>
      <c r="P69" s="8"/>
      <c r="Q69" s="8"/>
      <c r="R69" s="8"/>
    </row>
    <row r="70" spans="1:46" ht="15" customHeight="1">
      <c r="A70" s="399"/>
      <c r="B70" s="399"/>
      <c r="C70" s="399"/>
      <c r="D70" s="399"/>
      <c r="E70" s="399"/>
      <c r="F70" s="399"/>
      <c r="G70" s="399"/>
      <c r="H70" s="399"/>
      <c r="I70" s="399"/>
      <c r="J70" s="8"/>
      <c r="K70" s="8"/>
      <c r="L70" s="8"/>
      <c r="M70" s="8"/>
      <c r="N70" s="8"/>
      <c r="O70" s="8"/>
      <c r="P70" s="8"/>
      <c r="Q70" s="8"/>
      <c r="R70" s="8"/>
    </row>
    <row r="71" spans="1:46" ht="20.25">
      <c r="A71" s="400" t="s">
        <v>124</v>
      </c>
      <c r="B71" s="401"/>
      <c r="C71" s="401"/>
      <c r="D71" s="402"/>
      <c r="E71" s="403" t="s">
        <v>53</v>
      </c>
      <c r="F71" s="404"/>
      <c r="G71" s="404"/>
      <c r="H71" s="404"/>
      <c r="I71" s="405"/>
      <c r="J71" s="8"/>
      <c r="K71" s="8"/>
      <c r="L71" s="8"/>
      <c r="M71" s="8"/>
      <c r="N71" s="8"/>
      <c r="O71" s="8"/>
      <c r="P71" s="8"/>
      <c r="Q71" s="8"/>
      <c r="R71" s="8"/>
    </row>
    <row r="72" spans="1:46" ht="17.25">
      <c r="A72" s="123"/>
      <c r="B72" s="113"/>
      <c r="C72" s="113"/>
      <c r="D72" s="124"/>
      <c r="E72" s="117"/>
      <c r="F72" s="117"/>
      <c r="G72" s="117"/>
      <c r="H72" s="113"/>
      <c r="I72" s="211"/>
      <c r="J72" s="10"/>
      <c r="K72" s="8"/>
      <c r="L72" s="8"/>
      <c r="M72" s="8"/>
      <c r="N72" s="8"/>
      <c r="O72" s="8"/>
      <c r="P72" s="8"/>
      <c r="Q72" s="8"/>
      <c r="R72" s="8"/>
    </row>
    <row r="73" spans="1:46" ht="17.25">
      <c r="A73" s="131"/>
      <c r="B73" s="166"/>
      <c r="C73" s="166"/>
      <c r="D73" s="126"/>
      <c r="E73" s="117"/>
      <c r="F73" s="117"/>
      <c r="G73" s="117"/>
      <c r="H73" s="113"/>
      <c r="I73" s="211"/>
      <c r="J73" s="10"/>
    </row>
    <row r="74" spans="1:46" ht="20.25">
      <c r="A74" s="400" t="s">
        <v>29</v>
      </c>
      <c r="B74" s="401"/>
      <c r="C74" s="401"/>
      <c r="D74" s="401"/>
      <c r="E74" s="400" t="s">
        <v>27</v>
      </c>
      <c r="F74" s="401"/>
      <c r="G74" s="401"/>
      <c r="H74" s="401"/>
      <c r="I74" s="210"/>
      <c r="J74" s="10"/>
    </row>
    <row r="75" spans="1:46" ht="17.25">
      <c r="A75" s="123"/>
      <c r="B75" s="113"/>
      <c r="C75" s="113"/>
      <c r="D75" s="113"/>
      <c r="E75" s="125"/>
      <c r="F75" s="117"/>
      <c r="G75" s="117"/>
      <c r="H75" s="113"/>
      <c r="I75" s="211"/>
      <c r="M75" s="10"/>
    </row>
    <row r="76" spans="1:46" ht="17.25">
      <c r="A76" s="131"/>
      <c r="B76" s="166"/>
      <c r="C76" s="166"/>
      <c r="D76" s="166"/>
      <c r="E76" s="127"/>
      <c r="F76" s="148"/>
      <c r="G76" s="148"/>
      <c r="H76" s="166"/>
      <c r="I76" s="212"/>
    </row>
    <row r="78" spans="1:46" ht="15.75">
      <c r="A78" s="40" t="s">
        <v>45</v>
      </c>
    </row>
    <row r="79" spans="1:46" ht="17.25">
      <c r="M79" s="10"/>
    </row>
  </sheetData>
  <sheetProtection insertColumns="0" insertRows="0" selectLockedCells="1"/>
  <mergeCells count="43">
    <mergeCell ref="G67:H67"/>
    <mergeCell ref="G45:H45"/>
    <mergeCell ref="G58:H58"/>
    <mergeCell ref="G59:H59"/>
    <mergeCell ref="G66:H66"/>
    <mergeCell ref="G52:H52"/>
    <mergeCell ref="G53:H53"/>
    <mergeCell ref="G57:H57"/>
    <mergeCell ref="G60:H60"/>
    <mergeCell ref="G61:H61"/>
    <mergeCell ref="G62:H62"/>
    <mergeCell ref="G63:H63"/>
    <mergeCell ref="F9:G9"/>
    <mergeCell ref="G54:H54"/>
    <mergeCell ref="G55:H55"/>
    <mergeCell ref="G56:H56"/>
    <mergeCell ref="G46:H46"/>
    <mergeCell ref="G47:H47"/>
    <mergeCell ref="G48:H48"/>
    <mergeCell ref="G49:H49"/>
    <mergeCell ref="G50:H50"/>
    <mergeCell ref="G51:H51"/>
    <mergeCell ref="A41:B41"/>
    <mergeCell ref="C41:D41"/>
    <mergeCell ref="G43:H43"/>
    <mergeCell ref="G44:H44"/>
    <mergeCell ref="A2:I2"/>
    <mergeCell ref="A4:I4"/>
    <mergeCell ref="A5:B5"/>
    <mergeCell ref="E5:F5"/>
    <mergeCell ref="A6:B10"/>
    <mergeCell ref="C6:D8"/>
    <mergeCell ref="A11:I11"/>
    <mergeCell ref="H25:I25"/>
    <mergeCell ref="A38:I38"/>
    <mergeCell ref="A40:B40"/>
    <mergeCell ref="C40:D40"/>
    <mergeCell ref="C5:D5"/>
    <mergeCell ref="A69:I70"/>
    <mergeCell ref="A71:D71"/>
    <mergeCell ref="E71:I71"/>
    <mergeCell ref="A74:D74"/>
    <mergeCell ref="E74:H74"/>
  </mergeCells>
  <printOptions horizontalCentered="1"/>
  <pageMargins left="0.16" right="0.17" top="0" bottom="0.22" header="0.12" footer="0.17"/>
  <pageSetup paperSize="5" scale="54" orientation="portrait" horizontalDpi="120" verticalDpi="72"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2:Q390"/>
  <sheetViews>
    <sheetView showGridLines="0" topLeftCell="A7" zoomScaleNormal="100" workbookViewId="0">
      <selection activeCell="C27" sqref="C27"/>
    </sheetView>
  </sheetViews>
  <sheetFormatPr defaultRowHeight="15"/>
  <cols>
    <col min="1" max="1" width="18.85546875" style="108" bestFit="1" customWidth="1"/>
    <col min="2" max="2" width="18.140625" style="108" customWidth="1"/>
    <col min="3" max="3" width="15" style="108" customWidth="1"/>
    <col min="4" max="4" width="16" style="108" customWidth="1"/>
    <col min="5" max="5" width="14.28515625" style="108" customWidth="1"/>
    <col min="6" max="6" width="15.7109375" style="108" customWidth="1"/>
    <col min="7" max="7" width="14.5703125" style="108" bestFit="1" customWidth="1"/>
    <col min="8" max="8" width="12.7109375" style="108" customWidth="1"/>
    <col min="9" max="10" width="9.140625" style="108"/>
    <col min="11" max="11" width="27" style="108" bestFit="1" customWidth="1"/>
    <col min="12" max="12" width="12.28515625" style="108" customWidth="1"/>
    <col min="13" max="13" width="10.140625" style="108" bestFit="1" customWidth="1"/>
    <col min="14" max="14" width="9.42578125" style="108" bestFit="1" customWidth="1"/>
    <col min="15" max="16384" width="9.140625" style="108"/>
  </cols>
  <sheetData>
    <row r="2" spans="1:14" ht="45" customHeight="1"/>
    <row r="3" spans="1:14" ht="18" customHeight="1" thickBot="1">
      <c r="A3" s="396" t="s">
        <v>6</v>
      </c>
      <c r="B3" s="396"/>
      <c r="C3" s="396"/>
      <c r="D3" s="396"/>
      <c r="E3" s="396"/>
      <c r="F3" s="396"/>
      <c r="G3" s="396"/>
      <c r="H3" s="396"/>
    </row>
    <row r="4" spans="1:14" ht="24.75" customHeight="1">
      <c r="A4" s="195"/>
      <c r="B4" s="175"/>
      <c r="E4" s="174" t="s">
        <v>56</v>
      </c>
      <c r="F4" s="176">
        <f>Date_Released_SM</f>
        <v>43265</v>
      </c>
      <c r="G4" s="178" t="s">
        <v>4</v>
      </c>
      <c r="H4" s="196">
        <f>Maturitydate_SM</f>
        <v>43651</v>
      </c>
    </row>
    <row r="5" spans="1:14" ht="24.75" customHeight="1">
      <c r="A5" s="222" t="s">
        <v>41</v>
      </c>
      <c r="D5" s="218">
        <f>IF(get_loan_amount="NET AMOUNT",get_gross_amount,Loan_Amount)</f>
        <v>80953.710000000006</v>
      </c>
      <c r="E5" s="174" t="s">
        <v>136</v>
      </c>
      <c r="F5" s="216" t="e">
        <f>DATEDIF(Date_Released,Maturitydate_SM,"d")/30</f>
        <v>#NUM!</v>
      </c>
      <c r="G5" s="215" t="s">
        <v>137</v>
      </c>
      <c r="H5" s="169">
        <f>Monthly_Inst</f>
        <v>12</v>
      </c>
    </row>
    <row r="6" spans="1:14" ht="5.25" customHeight="1">
      <c r="D6" s="219"/>
      <c r="E6" s="146"/>
      <c r="F6" s="137"/>
    </row>
    <row r="7" spans="1:14" ht="16.5" customHeight="1">
      <c r="A7" s="177" t="s">
        <v>126</v>
      </c>
      <c r="D7" s="145"/>
      <c r="E7" s="137" t="s">
        <v>106</v>
      </c>
      <c r="G7" s="141" t="str">
        <f>IF(G8&gt;=0,"NO", "YES")</f>
        <v>NO</v>
      </c>
      <c r="K7" s="154"/>
    </row>
    <row r="8" spans="1:14" ht="16.5" customHeight="1">
      <c r="A8" s="108" t="s">
        <v>127</v>
      </c>
      <c r="B8" s="150"/>
      <c r="D8" s="145"/>
      <c r="E8" s="137" t="s">
        <v>14</v>
      </c>
      <c r="G8" s="140" t="str">
        <f>Renewal</f>
        <v>No</v>
      </c>
      <c r="I8" s="153"/>
      <c r="K8" s="154">
        <f>IF(Type_of_Loan="BL-SA",ROUND(Principal_Amount*(((Total_InterestRate/Loan_Amount)/Monthly_Inst)/30)*DATEDIF(Date_Released,MaturityDate_data_input,"d"),0),ROUND(Principal_Amount*(((Total_InterestRate/Loan_Amount)/Monthly_Inst)/30)*DATEDIF(Date_Released,Date_released2,"d"),0))</f>
        <v>0</v>
      </c>
      <c r="L8" s="137" t="s">
        <v>132</v>
      </c>
      <c r="N8" s="152" t="str">
        <f>ROUND(((((Total_InterestRate/Principal_Amount)/Monthly_Inst)*100)),2)&amp; "% from"&amp;TEXT(Date_Released," mm/dd/yyyy")&amp;" to "&amp;TEXT(Date_released2," mm/dd/yyyy")</f>
        <v>1.45% from 03/02/2026 to  03/02/2026</v>
      </c>
    </row>
    <row r="9" spans="1:14" ht="16.5" customHeight="1">
      <c r="A9" s="152" t="str">
        <f>(ROUND(Interest,3)*100&amp;"% from"&amp;TEXT(Date_Released," mm/dd/yyyy")&amp;" to "&amp;TEXT(Date_released2," mm/dd/yyyy"))</f>
        <v>3% from 03/02/2026 to  03/02/2026</v>
      </c>
      <c r="B9" s="150"/>
      <c r="C9" s="146">
        <f>IF(Type_of_Loan="SL",0,ROUND(Principal_Amount*(Interest/30)*DATEDIF(Date_Released,Date_released2,"d"),2))</f>
        <v>0</v>
      </c>
      <c r="D9" s="145"/>
      <c r="E9" s="137"/>
      <c r="G9" s="139"/>
      <c r="K9" s="155">
        <f>IF(Type_of_Loan="BL-SA",ROUND(Principal_Amount*(Interest/30)*DATEDIF(Date_Released,MaturityDate_data_input,"d"),0),ROUND(Principal_Amount*(Interest/30)*DATEDIF(Date_Released,Date_released2,"d"),0))</f>
        <v>0</v>
      </c>
      <c r="L9" s="137" t="s">
        <v>133</v>
      </c>
      <c r="N9" s="152" t="str">
        <f>(Interest*100) &amp; "% from"&amp;TEXT(Date_Released," mm/dd/yyyy")&amp;" to "&amp;TEXT(Date_released2," mm/dd/yyyy")</f>
        <v>3% from 03/02/2026 to  03/02/2026</v>
      </c>
    </row>
    <row r="10" spans="1:14" ht="16.5" customHeight="1">
      <c r="A10" s="137" t="s">
        <v>98</v>
      </c>
      <c r="B10" s="180">
        <f>Processing_Fee_in_Percentage</f>
        <v>7.4999999999999997E-2</v>
      </c>
      <c r="C10" s="138">
        <f>D5*B10</f>
        <v>6071.5282500000003</v>
      </c>
      <c r="D10" s="145"/>
      <c r="E10" s="137" t="s">
        <v>95</v>
      </c>
      <c r="G10" s="140" t="s">
        <v>206</v>
      </c>
      <c r="K10" s="114"/>
    </row>
    <row r="11" spans="1:14" ht="16.5" customHeight="1">
      <c r="A11" s="137" t="s">
        <v>50</v>
      </c>
      <c r="C11" s="138" t="str">
        <f>Account_Management_fee</f>
        <v>Auto compute**</v>
      </c>
      <c r="D11" s="145"/>
      <c r="E11" s="137" t="s">
        <v>130</v>
      </c>
      <c r="G11" s="140" t="str">
        <f>PN_no.</f>
        <v>.</v>
      </c>
    </row>
    <row r="12" spans="1:14" ht="16.5" customHeight="1">
      <c r="A12" s="137" t="s">
        <v>65</v>
      </c>
      <c r="C12" s="138">
        <f>Docfee_Yes_or_No</f>
        <v>500</v>
      </c>
      <c r="D12" s="145"/>
    </row>
    <row r="13" spans="1:14" ht="16.5" customHeight="1">
      <c r="A13" s="137" t="s">
        <v>40</v>
      </c>
      <c r="C13" s="138">
        <f>Notarial_Fee</f>
        <v>500</v>
      </c>
      <c r="D13" s="145"/>
      <c r="E13" s="137" t="s">
        <v>102</v>
      </c>
      <c r="K13" s="154">
        <f>Total_UII</f>
        <v>14049.306316385209</v>
      </c>
      <c r="L13" s="151">
        <f>Interest</f>
        <v>0.03</v>
      </c>
      <c r="M13" s="108" t="s">
        <v>144</v>
      </c>
    </row>
    <row r="14" spans="1:14" ht="16.5" customHeight="1">
      <c r="A14" s="108" t="str">
        <f>'Master data Input'!B42</f>
        <v>MLRI -Insurance</v>
      </c>
      <c r="C14" s="138" t="str">
        <f>Insurance</f>
        <v>Auto compute**</v>
      </c>
      <c r="D14" s="145"/>
      <c r="G14" s="128">
        <f>'Master data Input'!F42</f>
        <v>0</v>
      </c>
      <c r="K14" s="155">
        <f>Total_InterestRate</f>
        <v>14049.306316385209</v>
      </c>
      <c r="L14" s="151">
        <f>((((Total_InterestRate/C26)/Monthly_Inst)))</f>
        <v>1.4462283771372974E-2</v>
      </c>
      <c r="M14" s="137" t="s">
        <v>135</v>
      </c>
    </row>
    <row r="15" spans="1:14" ht="16.5" customHeight="1">
      <c r="A15" s="108" t="str">
        <f>Cash_Advance</f>
        <v>Cash Advance</v>
      </c>
      <c r="C15" s="138">
        <f>Advanced_Payment</f>
        <v>0</v>
      </c>
      <c r="D15" s="145"/>
      <c r="G15" s="128"/>
      <c r="K15" s="226"/>
      <c r="L15" s="151"/>
      <c r="M15" s="137"/>
    </row>
    <row r="16" spans="1:14" ht="16.5" customHeight="1">
      <c r="A16" s="108" t="str">
        <f>'Master data Input'!B45</f>
        <v>Miscellaneous</v>
      </c>
      <c r="C16" s="138">
        <f>'Master data Input'!C45</f>
        <v>500</v>
      </c>
      <c r="D16" s="145"/>
      <c r="E16" s="137" t="s">
        <v>141</v>
      </c>
      <c r="G16" s="139">
        <f>'Master data Input'!F38</f>
        <v>0</v>
      </c>
      <c r="K16" s="251">
        <f>K13-K14</f>
        <v>0</v>
      </c>
      <c r="L16" s="137" t="s">
        <v>134</v>
      </c>
    </row>
    <row r="17" spans="1:13" ht="16.5" customHeight="1" thickBot="1">
      <c r="A17" s="137" t="s">
        <v>128</v>
      </c>
      <c r="C17" s="138">
        <f>Outstanding_Balance_from_previous_loan</f>
        <v>0</v>
      </c>
      <c r="D17" s="220"/>
    </row>
    <row r="18" spans="1:13" ht="16.5" customHeight="1" thickBot="1">
      <c r="A18" s="137" t="s">
        <v>129</v>
      </c>
      <c r="D18" s="221">
        <f>SUM(C9:C17)</f>
        <v>7571.5282500000003</v>
      </c>
      <c r="E18" s="137" t="s">
        <v>131</v>
      </c>
      <c r="G18" s="182">
        <f>Date_Released</f>
        <v>46083</v>
      </c>
    </row>
    <row r="19" spans="1:13" ht="16.5" customHeight="1" thickTop="1">
      <c r="A19" s="222" t="s">
        <v>12</v>
      </c>
      <c r="D19" s="217">
        <f>D5-D18</f>
        <v>73382.181750000003</v>
      </c>
      <c r="E19" s="111" t="s">
        <v>54</v>
      </c>
      <c r="F19" s="398">
        <f>Agents</f>
        <v>0</v>
      </c>
      <c r="G19" s="398"/>
      <c r="H19" s="398"/>
    </row>
    <row r="20" spans="1:13" ht="15" customHeight="1" thickBot="1">
      <c r="A20" s="197"/>
      <c r="B20" s="197"/>
      <c r="C20" s="197"/>
      <c r="D20" s="197"/>
      <c r="E20" s="197"/>
      <c r="F20" s="197"/>
      <c r="G20" s="197"/>
      <c r="H20" s="197"/>
      <c r="L20" s="182"/>
    </row>
    <row r="21" spans="1:13" ht="4.5" customHeight="1">
      <c r="A21"/>
      <c r="B21"/>
      <c r="C21"/>
      <c r="D21" s="170"/>
      <c r="E21" s="170"/>
      <c r="F21" s="171"/>
      <c r="G21" s="170"/>
      <c r="H21" s="170"/>
    </row>
    <row r="22" spans="1:13" ht="15.75" thickBot="1">
      <c r="D22" s="172" t="s">
        <v>60</v>
      </c>
      <c r="E22" s="122"/>
      <c r="F22" s="122"/>
      <c r="G22" s="122"/>
      <c r="H22" s="144"/>
      <c r="K22" s="240" t="s">
        <v>155</v>
      </c>
      <c r="L22" s="241"/>
      <c r="M22" s="241"/>
    </row>
    <row r="23" spans="1:13" ht="16.5" customHeight="1" thickTop="1" thickBot="1">
      <c r="A23" s="394" t="s">
        <v>108</v>
      </c>
      <c r="B23" s="395"/>
      <c r="D23" s="369" t="str">
        <f>IF(OR_NAME&lt;&gt;"",Client_Name &amp;" or " &amp; OR_NAME,Client_Name)</f>
        <v>** or **</v>
      </c>
      <c r="E23" s="370"/>
      <c r="F23" s="370"/>
      <c r="G23" s="370"/>
      <c r="H23" s="371"/>
      <c r="K23" s="242" t="s">
        <v>156</v>
      </c>
      <c r="L23" s="242" t="s">
        <v>157</v>
      </c>
      <c r="M23" s="242" t="s">
        <v>158</v>
      </c>
    </row>
    <row r="24" spans="1:13" ht="15.75" thickTop="1">
      <c r="D24" s="372"/>
      <c r="E24" s="373"/>
      <c r="F24" s="373"/>
      <c r="G24" s="373"/>
      <c r="H24" s="374"/>
      <c r="K24" s="243" t="s">
        <v>159</v>
      </c>
      <c r="L24" s="244">
        <v>1</v>
      </c>
      <c r="M24" s="244">
        <v>12</v>
      </c>
    </row>
    <row r="25" spans="1:13">
      <c r="A25" s="393" t="s">
        <v>109</v>
      </c>
      <c r="B25" s="393"/>
      <c r="C25" s="156" t="str">
        <f>Type_of_Loan</f>
        <v>SML</v>
      </c>
      <c r="D25" s="109"/>
      <c r="E25" s="110"/>
      <c r="F25" s="110"/>
      <c r="G25" s="142"/>
      <c r="H25" s="145"/>
      <c r="K25" s="243" t="s">
        <v>160</v>
      </c>
      <c r="L25" s="244">
        <v>2</v>
      </c>
      <c r="M25" s="244">
        <v>6</v>
      </c>
    </row>
    <row r="26" spans="1:13">
      <c r="A26" s="393" t="s">
        <v>110</v>
      </c>
      <c r="B26" s="393"/>
      <c r="C26" s="157">
        <f>D5</f>
        <v>80953.710000000006</v>
      </c>
      <c r="D26" s="109" t="s">
        <v>36</v>
      </c>
      <c r="G26" s="143"/>
      <c r="H26" s="145"/>
      <c r="K26" s="243" t="s">
        <v>161</v>
      </c>
      <c r="L26" s="244">
        <v>4</v>
      </c>
      <c r="M26" s="244">
        <v>3</v>
      </c>
    </row>
    <row r="27" spans="1:13" ht="15" customHeight="1">
      <c r="A27" s="393" t="s">
        <v>111</v>
      </c>
      <c r="B27" s="393"/>
      <c r="C27" s="179">
        <f>Contractual_Rate</f>
        <v>3.6999999999999998E-2</v>
      </c>
      <c r="D27" s="375" t="str">
        <f>Address</f>
        <v>**</v>
      </c>
      <c r="E27" s="376"/>
      <c r="F27" s="376"/>
      <c r="G27" s="376"/>
      <c r="H27" s="377"/>
      <c r="K27" s="243" t="s">
        <v>162</v>
      </c>
      <c r="L27" s="244">
        <v>6</v>
      </c>
      <c r="M27" s="244">
        <v>2</v>
      </c>
    </row>
    <row r="28" spans="1:13">
      <c r="A28" s="393" t="s">
        <v>112</v>
      </c>
      <c r="B28" s="393"/>
      <c r="C28" s="158">
        <f>'Master data Input'!K12</f>
        <v>12</v>
      </c>
      <c r="D28" s="378"/>
      <c r="E28" s="379"/>
      <c r="F28" s="379"/>
      <c r="G28" s="379"/>
      <c r="H28" s="380"/>
      <c r="K28" s="243" t="s">
        <v>151</v>
      </c>
      <c r="L28" s="244">
        <v>12</v>
      </c>
      <c r="M28" s="244">
        <v>1</v>
      </c>
    </row>
    <row r="29" spans="1:13">
      <c r="A29" s="393" t="s">
        <v>113</v>
      </c>
      <c r="B29" s="393"/>
      <c r="C29" s="157">
        <f>'Monthly -client copy'!D67/'Semi Monthly -client copy'!H9</f>
        <v>7916.9180263654343</v>
      </c>
      <c r="D29" s="378"/>
      <c r="E29" s="379"/>
      <c r="F29" s="379"/>
      <c r="G29" s="379"/>
      <c r="H29" s="380"/>
      <c r="K29" s="243" t="s">
        <v>163</v>
      </c>
      <c r="L29" s="244">
        <v>24</v>
      </c>
      <c r="M29" s="244">
        <v>0.5</v>
      </c>
    </row>
    <row r="30" spans="1:13">
      <c r="A30" s="393" t="s">
        <v>114</v>
      </c>
      <c r="B30" s="393"/>
      <c r="C30" s="157">
        <f>D18</f>
        <v>7571.5282500000003</v>
      </c>
      <c r="D30" s="381"/>
      <c r="E30" s="382"/>
      <c r="F30" s="382"/>
      <c r="G30" s="382"/>
      <c r="H30" s="383"/>
      <c r="K30" s="243" t="s">
        <v>164</v>
      </c>
      <c r="L30" s="244">
        <v>26</v>
      </c>
      <c r="M30" s="243" t="s">
        <v>165</v>
      </c>
    </row>
    <row r="31" spans="1:13" ht="15.75" thickBot="1">
      <c r="A31" s="137"/>
      <c r="B31" s="137"/>
      <c r="C31" s="137"/>
      <c r="D31" s="109"/>
      <c r="G31" s="117"/>
      <c r="H31" s="145"/>
      <c r="K31" s="243" t="s">
        <v>166</v>
      </c>
      <c r="L31" s="244">
        <v>52</v>
      </c>
      <c r="M31" s="243" t="s">
        <v>165</v>
      </c>
    </row>
    <row r="32" spans="1:13" ht="16.5" thickTop="1" thickBot="1">
      <c r="A32" s="397" t="s">
        <v>115</v>
      </c>
      <c r="B32" s="397"/>
      <c r="C32" s="137"/>
      <c r="D32" s="111" t="s">
        <v>105</v>
      </c>
      <c r="G32" s="117"/>
      <c r="H32" s="145"/>
      <c r="K32" s="245" t="s">
        <v>167</v>
      </c>
      <c r="L32" s="246">
        <f>INDEX(L24:L31,MATCH(Installment_Type_SM,K24:K31,0))</f>
        <v>24</v>
      </c>
      <c r="M32" s="245">
        <f>INDEX(M24:M31,MATCH(Installment_Type_SM,K24:K31,0))</f>
        <v>0.5</v>
      </c>
    </row>
    <row r="33" spans="1:17" ht="15.75" thickTop="1">
      <c r="A33" s="137"/>
      <c r="B33" s="137"/>
      <c r="C33" s="137"/>
      <c r="D33" s="384"/>
      <c r="E33" s="385"/>
      <c r="F33" s="385"/>
      <c r="G33" s="385"/>
      <c r="H33" s="386"/>
    </row>
    <row r="34" spans="1:17">
      <c r="A34" s="393" t="s">
        <v>116</v>
      </c>
      <c r="B34" s="393"/>
      <c r="C34" s="159" t="e">
        <f>(1+IRR($G$41:$G$59))^12-1</f>
        <v>#NUM!</v>
      </c>
      <c r="D34" s="387"/>
      <c r="E34" s="388"/>
      <c r="F34" s="388"/>
      <c r="G34" s="388"/>
      <c r="H34" s="389"/>
    </row>
    <row r="35" spans="1:17">
      <c r="A35" s="393" t="s">
        <v>117</v>
      </c>
      <c r="B35" s="393"/>
      <c r="C35" s="159" t="e">
        <f>IRR($G$41:$G$59)</f>
        <v>#NUM!</v>
      </c>
      <c r="D35" s="387"/>
      <c r="E35" s="388"/>
      <c r="F35" s="388"/>
      <c r="G35" s="388"/>
      <c r="H35" s="389"/>
    </row>
    <row r="36" spans="1:17">
      <c r="A36" s="393" t="s">
        <v>118</v>
      </c>
      <c r="B36" s="393"/>
      <c r="C36" s="157">
        <f>SUM($G$42:$G$59)</f>
        <v>95003.016316385183</v>
      </c>
      <c r="D36" s="387"/>
      <c r="E36" s="388"/>
      <c r="F36" s="388"/>
      <c r="G36" s="388"/>
      <c r="H36" s="389"/>
    </row>
    <row r="37" spans="1:17">
      <c r="A37" s="393" t="s">
        <v>119</v>
      </c>
      <c r="B37" s="393"/>
      <c r="C37" s="157">
        <f>Total_InterestRate</f>
        <v>14049.306316385209</v>
      </c>
      <c r="D37" s="390"/>
      <c r="E37" s="391"/>
      <c r="F37" s="391"/>
      <c r="G37" s="391"/>
      <c r="H37" s="392"/>
    </row>
    <row r="38" spans="1:17" ht="5.25" customHeight="1" thickBot="1">
      <c r="G38" s="112"/>
    </row>
    <row r="39" spans="1:17" ht="16.5" thickTop="1" thickBot="1">
      <c r="A39" s="168" t="s">
        <v>120</v>
      </c>
      <c r="B39" s="168" t="s">
        <v>21</v>
      </c>
      <c r="C39" s="168" t="s">
        <v>121</v>
      </c>
      <c r="D39" s="168" t="s">
        <v>24</v>
      </c>
      <c r="E39" s="168" t="s">
        <v>23</v>
      </c>
      <c r="F39" s="168" t="s">
        <v>114</v>
      </c>
      <c r="G39" s="168" t="s">
        <v>122</v>
      </c>
      <c r="H39" s="168" t="s">
        <v>123</v>
      </c>
    </row>
    <row r="40" spans="1:17" ht="15.75" thickTop="1">
      <c r="A40" s="247"/>
      <c r="B40" s="248"/>
      <c r="C40" s="249">
        <f>C26</f>
        <v>80953.710000000006</v>
      </c>
      <c r="D40" s="248"/>
      <c r="E40" s="248"/>
      <c r="F40" s="248"/>
      <c r="G40" s="248"/>
      <c r="H40" s="250">
        <f>C26</f>
        <v>80953.710000000006</v>
      </c>
    </row>
    <row r="41" spans="1:17">
      <c r="A41" s="123">
        <v>0</v>
      </c>
      <c r="B41" s="160"/>
      <c r="C41" s="113"/>
      <c r="D41" s="113"/>
      <c r="E41" s="113"/>
      <c r="F41" s="161">
        <f>C30</f>
        <v>7571.5282500000003</v>
      </c>
      <c r="G41" s="117">
        <f>H40-F41</f>
        <v>73382.181750000003</v>
      </c>
      <c r="H41" s="162">
        <f>C26</f>
        <v>80953.710000000006</v>
      </c>
    </row>
    <row r="42" spans="1:17">
      <c r="A42" s="123">
        <v>1</v>
      </c>
      <c r="B42" s="187">
        <f t="shared" ref="B42:B59" si="0">IF(A42="","",IF($L$32=26,(A42-1)*14+Start_Payment_SM,IF($L$32=52,(A42-1)*7+Start_Payment_SM,DATE(YEAR(Start_Payment_SM),MONTH(Start_Payment_SM)+(A42-1)*$M$32,IF($L$32=24,IF((MOD(A42-1,2))=1,DAY(Start_Payment_SM)+15,DAY(Start_Payment_SM)),DAY(Start_Payment_SM))))))</f>
        <v>43317</v>
      </c>
      <c r="C42" s="113"/>
      <c r="D42" s="117">
        <f t="shared" ref="D42:D59" si="1">IF(period2&lt;&gt;"",E42+G42,"")</f>
        <v>7916.9180263654343</v>
      </c>
      <c r="E42" s="117">
        <f>IF(period2&lt;&gt;"",IF(G42&lt;0,(H41*$C$27),0),"")</f>
        <v>0</v>
      </c>
      <c r="F42" s="117"/>
      <c r="G42" s="117">
        <f t="shared" ref="G42:G59" si="2">IF(period2&lt;&gt;"",IF(ROUND(H41,5)&gt;0,C$29,0),"")</f>
        <v>7916.9180263654343</v>
      </c>
      <c r="H42" s="164">
        <f>IF(period2&lt;&gt;"",IF(ROUND(H40,5)&gt;0,(D42-(-H41)),0),"")</f>
        <v>88870.628026365448</v>
      </c>
    </row>
    <row r="43" spans="1:17">
      <c r="A43" s="123">
        <f>IF(A42&lt;$C$28,A42+1,"")</f>
        <v>2</v>
      </c>
      <c r="B43" s="187">
        <f t="shared" si="0"/>
        <v>43332</v>
      </c>
      <c r="C43" s="113"/>
      <c r="D43" s="117">
        <f t="shared" si="1"/>
        <v>7916.9180263654343</v>
      </c>
      <c r="E43" s="117">
        <f t="shared" ref="E43:E59" si="3">IF(period2&lt;&gt;"",IF(G43&lt;0,(H42*$C$27),0),"")</f>
        <v>0</v>
      </c>
      <c r="F43" s="117"/>
      <c r="G43" s="117">
        <f t="shared" si="2"/>
        <v>7916.9180263654343</v>
      </c>
      <c r="H43" s="164">
        <f t="shared" ref="H43:H59" si="4">IF(period2&lt;&gt;"",IF(ROUND(H41,5)&gt;0,(D43-(-H42)),0),"")</f>
        <v>96787.546052730875</v>
      </c>
      <c r="Q43" s="115"/>
    </row>
    <row r="44" spans="1:17">
      <c r="A44" s="123">
        <f>IF(A43&lt;$C$28,A43+1,"")</f>
        <v>3</v>
      </c>
      <c r="B44" s="187">
        <f t="shared" si="0"/>
        <v>43348</v>
      </c>
      <c r="C44" s="113"/>
      <c r="D44" s="117">
        <f t="shared" si="1"/>
        <v>7916.9180263654343</v>
      </c>
      <c r="E44" s="117">
        <f t="shared" si="3"/>
        <v>0</v>
      </c>
      <c r="F44" s="117"/>
      <c r="G44" s="117">
        <f t="shared" si="2"/>
        <v>7916.9180263654343</v>
      </c>
      <c r="H44" s="164">
        <f t="shared" si="4"/>
        <v>104704.4640790963</v>
      </c>
    </row>
    <row r="45" spans="1:17">
      <c r="A45" s="123">
        <f t="shared" ref="A45:A59" si="5">IF(A44&lt;$C$28,A44+1,"")</f>
        <v>4</v>
      </c>
      <c r="B45" s="187">
        <f t="shared" si="0"/>
        <v>43363</v>
      </c>
      <c r="C45" s="113"/>
      <c r="D45" s="117">
        <f t="shared" si="1"/>
        <v>7916.9180263654343</v>
      </c>
      <c r="E45" s="117">
        <f t="shared" si="3"/>
        <v>0</v>
      </c>
      <c r="F45" s="113"/>
      <c r="G45" s="117">
        <f t="shared" si="2"/>
        <v>7916.9180263654343</v>
      </c>
      <c r="H45" s="164">
        <f t="shared" si="4"/>
        <v>112621.38210546173</v>
      </c>
    </row>
    <row r="46" spans="1:17">
      <c r="A46" s="123">
        <f t="shared" si="5"/>
        <v>5</v>
      </c>
      <c r="B46" s="187">
        <f t="shared" si="0"/>
        <v>43378</v>
      </c>
      <c r="C46" s="113"/>
      <c r="D46" s="117">
        <f t="shared" si="1"/>
        <v>7916.9180263654343</v>
      </c>
      <c r="E46" s="117">
        <f t="shared" si="3"/>
        <v>0</v>
      </c>
      <c r="F46" s="113"/>
      <c r="G46" s="117">
        <f t="shared" si="2"/>
        <v>7916.9180263654343</v>
      </c>
      <c r="H46" s="164">
        <f t="shared" si="4"/>
        <v>120538.30013182716</v>
      </c>
    </row>
    <row r="47" spans="1:17">
      <c r="A47" s="123">
        <f t="shared" si="5"/>
        <v>6</v>
      </c>
      <c r="B47" s="187">
        <f t="shared" si="0"/>
        <v>43393</v>
      </c>
      <c r="C47" s="117"/>
      <c r="D47" s="117">
        <f t="shared" si="1"/>
        <v>7916.9180263654343</v>
      </c>
      <c r="E47" s="117">
        <f t="shared" si="3"/>
        <v>0</v>
      </c>
      <c r="F47" s="117"/>
      <c r="G47" s="117">
        <f t="shared" si="2"/>
        <v>7916.9180263654343</v>
      </c>
      <c r="H47" s="164">
        <f t="shared" si="4"/>
        <v>128455.21815819258</v>
      </c>
    </row>
    <row r="48" spans="1:17">
      <c r="A48" s="123">
        <f t="shared" si="5"/>
        <v>7</v>
      </c>
      <c r="B48" s="187">
        <f t="shared" si="0"/>
        <v>43409</v>
      </c>
      <c r="C48" s="117"/>
      <c r="D48" s="117">
        <f t="shared" si="1"/>
        <v>7916.9180263654343</v>
      </c>
      <c r="E48" s="117">
        <f t="shared" si="3"/>
        <v>0</v>
      </c>
      <c r="F48" s="117"/>
      <c r="G48" s="117">
        <f t="shared" si="2"/>
        <v>7916.9180263654343</v>
      </c>
      <c r="H48" s="164">
        <f t="shared" si="4"/>
        <v>136372.13618455801</v>
      </c>
    </row>
    <row r="49" spans="1:11">
      <c r="A49" s="123">
        <f t="shared" si="5"/>
        <v>8</v>
      </c>
      <c r="B49" s="187">
        <f t="shared" si="0"/>
        <v>43424</v>
      </c>
      <c r="C49" s="117"/>
      <c r="D49" s="117">
        <f t="shared" si="1"/>
        <v>7916.9180263654343</v>
      </c>
      <c r="E49" s="117">
        <f t="shared" si="3"/>
        <v>0</v>
      </c>
      <c r="F49" s="117"/>
      <c r="G49" s="117">
        <f t="shared" si="2"/>
        <v>7916.9180263654343</v>
      </c>
      <c r="H49" s="164">
        <f t="shared" si="4"/>
        <v>144289.05421092344</v>
      </c>
    </row>
    <row r="50" spans="1:11">
      <c r="A50" s="123">
        <f t="shared" si="5"/>
        <v>9</v>
      </c>
      <c r="B50" s="187">
        <f t="shared" si="0"/>
        <v>43439</v>
      </c>
      <c r="C50" s="117"/>
      <c r="D50" s="117">
        <f t="shared" si="1"/>
        <v>7916.9180263654343</v>
      </c>
      <c r="E50" s="117">
        <f t="shared" si="3"/>
        <v>0</v>
      </c>
      <c r="F50" s="117"/>
      <c r="G50" s="117">
        <f t="shared" si="2"/>
        <v>7916.9180263654343</v>
      </c>
      <c r="H50" s="164">
        <f t="shared" si="4"/>
        <v>152205.97223728886</v>
      </c>
    </row>
    <row r="51" spans="1:11">
      <c r="A51" s="123">
        <f t="shared" si="5"/>
        <v>10</v>
      </c>
      <c r="B51" s="187">
        <f t="shared" si="0"/>
        <v>43454</v>
      </c>
      <c r="C51" s="117"/>
      <c r="D51" s="117">
        <f t="shared" si="1"/>
        <v>7916.9180263654343</v>
      </c>
      <c r="E51" s="117">
        <f t="shared" si="3"/>
        <v>0</v>
      </c>
      <c r="F51" s="117"/>
      <c r="G51" s="117">
        <f t="shared" si="2"/>
        <v>7916.9180263654343</v>
      </c>
      <c r="H51" s="164">
        <f t="shared" si="4"/>
        <v>160122.89026365429</v>
      </c>
    </row>
    <row r="52" spans="1:11">
      <c r="A52" s="123">
        <f t="shared" si="5"/>
        <v>11</v>
      </c>
      <c r="B52" s="187">
        <f t="shared" si="0"/>
        <v>43470</v>
      </c>
      <c r="C52" s="117"/>
      <c r="D52" s="117">
        <f t="shared" si="1"/>
        <v>7916.9180263654343</v>
      </c>
      <c r="E52" s="117">
        <f t="shared" si="3"/>
        <v>0</v>
      </c>
      <c r="F52" s="117"/>
      <c r="G52" s="117">
        <f t="shared" si="2"/>
        <v>7916.9180263654343</v>
      </c>
      <c r="H52" s="164">
        <f t="shared" si="4"/>
        <v>168039.80829001972</v>
      </c>
    </row>
    <row r="53" spans="1:11">
      <c r="A53" s="123">
        <f t="shared" si="5"/>
        <v>12</v>
      </c>
      <c r="B53" s="187">
        <f t="shared" si="0"/>
        <v>43485</v>
      </c>
      <c r="C53" s="117"/>
      <c r="D53" s="117">
        <f t="shared" si="1"/>
        <v>7916.9180263654343</v>
      </c>
      <c r="E53" s="117">
        <f t="shared" si="3"/>
        <v>0</v>
      </c>
      <c r="F53" s="117"/>
      <c r="G53" s="117">
        <f t="shared" si="2"/>
        <v>7916.9180263654343</v>
      </c>
      <c r="H53" s="164">
        <f t="shared" si="4"/>
        <v>175956.72631638515</v>
      </c>
    </row>
    <row r="54" spans="1:11">
      <c r="A54" s="123" t="str">
        <f t="shared" si="5"/>
        <v/>
      </c>
      <c r="B54" s="187" t="str">
        <f t="shared" si="0"/>
        <v/>
      </c>
      <c r="C54" s="117"/>
      <c r="D54" s="117" t="str">
        <f t="shared" si="1"/>
        <v/>
      </c>
      <c r="E54" s="117" t="str">
        <f t="shared" si="3"/>
        <v/>
      </c>
      <c r="F54" s="113"/>
      <c r="G54" s="117" t="str">
        <f t="shared" si="2"/>
        <v/>
      </c>
      <c r="H54" s="164" t="str">
        <f t="shared" si="4"/>
        <v/>
      </c>
    </row>
    <row r="55" spans="1:11">
      <c r="A55" s="123" t="str">
        <f t="shared" si="5"/>
        <v/>
      </c>
      <c r="B55" s="187" t="str">
        <f t="shared" si="0"/>
        <v/>
      </c>
      <c r="C55" s="117"/>
      <c r="D55" s="117" t="str">
        <f t="shared" si="1"/>
        <v/>
      </c>
      <c r="E55" s="117" t="str">
        <f t="shared" si="3"/>
        <v/>
      </c>
      <c r="F55" s="113"/>
      <c r="G55" s="117" t="str">
        <f t="shared" si="2"/>
        <v/>
      </c>
      <c r="H55" s="164" t="str">
        <f t="shared" si="4"/>
        <v/>
      </c>
    </row>
    <row r="56" spans="1:11">
      <c r="A56" s="123" t="str">
        <f t="shared" si="5"/>
        <v/>
      </c>
      <c r="B56" s="187" t="str">
        <f t="shared" si="0"/>
        <v/>
      </c>
      <c r="C56" s="117"/>
      <c r="D56" s="117" t="str">
        <f t="shared" si="1"/>
        <v/>
      </c>
      <c r="E56" s="117" t="str">
        <f t="shared" si="3"/>
        <v/>
      </c>
      <c r="F56" s="113"/>
      <c r="G56" s="117" t="str">
        <f t="shared" si="2"/>
        <v/>
      </c>
      <c r="H56" s="164" t="str">
        <f t="shared" si="4"/>
        <v/>
      </c>
    </row>
    <row r="57" spans="1:11">
      <c r="A57" s="123" t="str">
        <f t="shared" si="5"/>
        <v/>
      </c>
      <c r="B57" s="187" t="str">
        <f t="shared" si="0"/>
        <v/>
      </c>
      <c r="C57" s="117"/>
      <c r="D57" s="117" t="str">
        <f t="shared" si="1"/>
        <v/>
      </c>
      <c r="E57" s="117" t="str">
        <f t="shared" si="3"/>
        <v/>
      </c>
      <c r="F57" s="113"/>
      <c r="G57" s="117" t="str">
        <f t="shared" si="2"/>
        <v/>
      </c>
      <c r="H57" s="164" t="str">
        <f t="shared" si="4"/>
        <v/>
      </c>
    </row>
    <row r="58" spans="1:11">
      <c r="A58" s="123" t="str">
        <f t="shared" si="5"/>
        <v/>
      </c>
      <c r="B58" s="187" t="str">
        <f t="shared" si="0"/>
        <v/>
      </c>
      <c r="C58" s="117"/>
      <c r="D58" s="117" t="str">
        <f t="shared" si="1"/>
        <v/>
      </c>
      <c r="E58" s="117" t="str">
        <f t="shared" si="3"/>
        <v/>
      </c>
      <c r="F58" s="113"/>
      <c r="G58" s="117" t="str">
        <f t="shared" si="2"/>
        <v/>
      </c>
      <c r="H58" s="164" t="str">
        <f t="shared" si="4"/>
        <v/>
      </c>
    </row>
    <row r="59" spans="1:11">
      <c r="A59" s="165" t="str">
        <f t="shared" si="5"/>
        <v/>
      </c>
      <c r="B59" s="188" t="str">
        <f t="shared" si="0"/>
        <v/>
      </c>
      <c r="C59" s="148"/>
      <c r="D59" s="148" t="str">
        <f t="shared" si="1"/>
        <v/>
      </c>
      <c r="E59" s="148" t="str">
        <f t="shared" si="3"/>
        <v/>
      </c>
      <c r="F59" s="166"/>
      <c r="G59" s="148" t="str">
        <f t="shared" si="2"/>
        <v/>
      </c>
      <c r="H59" s="167" t="str">
        <f t="shared" si="4"/>
        <v/>
      </c>
      <c r="K59" s="116"/>
    </row>
    <row r="60" spans="1:11" ht="9" customHeight="1">
      <c r="A60" s="113"/>
      <c r="B60" s="163"/>
      <c r="C60" s="117"/>
      <c r="D60" s="117"/>
      <c r="E60" s="117"/>
      <c r="F60" s="113"/>
      <c r="G60" s="117"/>
      <c r="H60" s="114"/>
    </row>
    <row r="61" spans="1:11" ht="19.5">
      <c r="A61" s="368" t="str">
        <f>"Interest Rate of " &amp; (Contractual_Rate*100) &amp;"% is equivalent to the Add On Rate of " &amp; ROUND((((((Total_InterestRate/C26)/Monthly_Inst))))*100,2) &amp; "% per Month"</f>
        <v>Interest Rate of 3.7% is equivalent to the Add On Rate of 1.45% per Month</v>
      </c>
      <c r="B61" s="368"/>
      <c r="C61" s="368"/>
      <c r="D61" s="368"/>
      <c r="E61" s="368"/>
      <c r="F61" s="368"/>
      <c r="G61" s="368"/>
      <c r="H61" s="114"/>
    </row>
    <row r="62" spans="1:11" ht="6" customHeight="1">
      <c r="A62" s="173"/>
      <c r="B62" s="173"/>
      <c r="C62" s="173"/>
      <c r="D62" s="173"/>
      <c r="E62" s="173"/>
      <c r="F62" s="173"/>
      <c r="G62" s="173"/>
      <c r="H62" s="114"/>
    </row>
    <row r="63" spans="1:11">
      <c r="A63" s="118" t="s">
        <v>124</v>
      </c>
      <c r="B63" s="119"/>
      <c r="C63" s="119"/>
      <c r="D63" s="120"/>
      <c r="E63" s="121" t="s">
        <v>53</v>
      </c>
      <c r="F63" s="147"/>
      <c r="G63" s="122"/>
      <c r="H63" s="120"/>
      <c r="I63" s="117"/>
      <c r="J63" s="114"/>
    </row>
    <row r="64" spans="1:11">
      <c r="A64" s="123"/>
      <c r="B64" s="113"/>
      <c r="C64" s="113"/>
      <c r="D64" s="124"/>
      <c r="E64" s="125"/>
      <c r="F64" s="117"/>
      <c r="G64" s="117"/>
      <c r="H64" s="124"/>
      <c r="I64" s="117"/>
      <c r="J64" s="114"/>
    </row>
    <row r="65" spans="1:10">
      <c r="A65" s="123"/>
      <c r="B65" s="113"/>
      <c r="C65" s="113"/>
      <c r="D65" s="124"/>
      <c r="E65" s="127"/>
      <c r="F65" s="148"/>
      <c r="G65" s="128"/>
      <c r="H65" s="126"/>
      <c r="I65" s="117"/>
      <c r="J65" s="114"/>
    </row>
    <row r="66" spans="1:10">
      <c r="A66" s="129" t="s">
        <v>29</v>
      </c>
      <c r="B66" s="119"/>
      <c r="C66" s="119"/>
      <c r="D66" s="120"/>
      <c r="E66" s="129" t="s">
        <v>27</v>
      </c>
      <c r="F66" s="149"/>
      <c r="G66" s="122"/>
      <c r="H66" s="120"/>
      <c r="I66" s="117"/>
      <c r="J66" s="114"/>
    </row>
    <row r="67" spans="1:10">
      <c r="A67" s="130"/>
      <c r="B67" s="113"/>
      <c r="C67" s="113"/>
      <c r="D67" s="124"/>
      <c r="E67" s="125"/>
      <c r="F67" s="117"/>
      <c r="G67" s="117"/>
      <c r="H67" s="124"/>
      <c r="I67" s="117"/>
      <c r="J67" s="114"/>
    </row>
    <row r="68" spans="1:10">
      <c r="A68" s="131"/>
      <c r="B68" s="128"/>
      <c r="C68" s="128"/>
      <c r="D68" s="132"/>
      <c r="E68" s="133"/>
      <c r="F68" s="128"/>
      <c r="G68" s="128"/>
      <c r="H68" s="132"/>
      <c r="I68" s="117"/>
      <c r="J68" s="114"/>
    </row>
    <row r="69" spans="1:10">
      <c r="G69" s="112"/>
      <c r="H69" s="114"/>
    </row>
    <row r="70" spans="1:10">
      <c r="G70" s="112"/>
      <c r="H70" s="114"/>
    </row>
    <row r="71" spans="1:10">
      <c r="G71" s="112"/>
      <c r="H71" s="114"/>
    </row>
    <row r="72" spans="1:10">
      <c r="G72" s="112"/>
      <c r="H72" s="114"/>
    </row>
    <row r="73" spans="1:10">
      <c r="G73" s="112"/>
      <c r="H73" s="114"/>
    </row>
    <row r="74" spans="1:10">
      <c r="G74" s="112"/>
      <c r="H74" s="114"/>
    </row>
    <row r="75" spans="1:10">
      <c r="G75" s="112"/>
      <c r="H75" s="114"/>
    </row>
    <row r="76" spans="1:10">
      <c r="G76" s="112"/>
      <c r="H76" s="114"/>
    </row>
    <row r="77" spans="1:10">
      <c r="A77" s="113"/>
      <c r="B77" s="113"/>
      <c r="C77" s="113"/>
      <c r="D77" s="112"/>
      <c r="E77" s="112"/>
      <c r="F77" s="113"/>
      <c r="G77" s="112"/>
      <c r="H77" s="114"/>
    </row>
    <row r="78" spans="1:10">
      <c r="A78" s="113"/>
      <c r="B78" s="113"/>
      <c r="C78" s="113"/>
      <c r="D78" s="112"/>
      <c r="E78" s="112"/>
      <c r="F78" s="113"/>
      <c r="G78" s="112"/>
      <c r="H78" s="114"/>
    </row>
    <row r="79" spans="1:10">
      <c r="A79" s="113"/>
      <c r="B79" s="113"/>
      <c r="C79" s="113"/>
      <c r="D79" s="112"/>
      <c r="E79" s="112"/>
      <c r="F79" s="113"/>
      <c r="G79" s="112"/>
      <c r="H79" s="114"/>
    </row>
    <row r="80" spans="1:10">
      <c r="A80" s="113"/>
      <c r="B80" s="113"/>
      <c r="C80" s="113"/>
      <c r="D80" s="112"/>
      <c r="E80" s="112"/>
      <c r="F80" s="113"/>
      <c r="G80" s="112"/>
      <c r="H80" s="114"/>
    </row>
    <row r="81" spans="1:8">
      <c r="A81" s="113"/>
      <c r="B81" s="113"/>
      <c r="C81" s="113"/>
      <c r="D81" s="112"/>
      <c r="E81" s="112"/>
      <c r="F81" s="113"/>
      <c r="G81" s="112"/>
      <c r="H81" s="114"/>
    </row>
    <row r="82" spans="1:8">
      <c r="A82" s="113"/>
      <c r="B82" s="113"/>
      <c r="C82" s="113"/>
      <c r="D82" s="112"/>
      <c r="E82" s="112"/>
      <c r="F82" s="113"/>
      <c r="G82" s="112"/>
      <c r="H82" s="114"/>
    </row>
    <row r="83" spans="1:8">
      <c r="A83" s="113"/>
      <c r="B83" s="113"/>
      <c r="C83" s="113"/>
      <c r="D83" s="112"/>
      <c r="E83" s="112"/>
      <c r="F83" s="113"/>
      <c r="G83" s="112"/>
      <c r="H83" s="114"/>
    </row>
    <row r="84" spans="1:8">
      <c r="A84" s="113"/>
      <c r="B84" s="113"/>
      <c r="C84" s="113"/>
      <c r="D84" s="112"/>
      <c r="E84" s="112"/>
      <c r="F84" s="113"/>
      <c r="G84" s="112"/>
      <c r="H84" s="114"/>
    </row>
    <row r="85" spans="1:8">
      <c r="A85" s="113"/>
      <c r="B85" s="113"/>
      <c r="C85" s="113"/>
      <c r="D85" s="112"/>
      <c r="E85" s="112"/>
      <c r="F85" s="113"/>
      <c r="G85" s="112"/>
      <c r="H85" s="114"/>
    </row>
    <row r="86" spans="1:8">
      <c r="A86" s="113"/>
      <c r="B86" s="113"/>
      <c r="C86" s="113"/>
      <c r="D86" s="112"/>
      <c r="E86" s="112"/>
      <c r="F86" s="113"/>
      <c r="G86" s="112"/>
      <c r="H86" s="114"/>
    </row>
    <row r="87" spans="1:8">
      <c r="A87" s="113"/>
      <c r="B87" s="113"/>
      <c r="C87" s="113"/>
      <c r="D87" s="112"/>
      <c r="E87" s="112"/>
      <c r="F87" s="113"/>
      <c r="G87" s="112"/>
      <c r="H87" s="114"/>
    </row>
    <row r="88" spans="1:8">
      <c r="A88" s="113"/>
      <c r="B88" s="113"/>
      <c r="C88" s="113"/>
      <c r="D88" s="112"/>
      <c r="E88" s="112"/>
      <c r="F88" s="113"/>
      <c r="G88" s="112"/>
      <c r="H88" s="114"/>
    </row>
    <row r="89" spans="1:8">
      <c r="A89" s="113"/>
      <c r="B89" s="113"/>
      <c r="C89" s="113"/>
      <c r="D89" s="112"/>
      <c r="E89" s="112"/>
      <c r="F89" s="113"/>
      <c r="G89" s="112"/>
      <c r="H89" s="114"/>
    </row>
    <row r="90" spans="1:8">
      <c r="A90" s="113"/>
      <c r="B90" s="113"/>
      <c r="C90" s="113"/>
      <c r="D90" s="112"/>
      <c r="E90" s="112"/>
      <c r="F90" s="113"/>
      <c r="G90" s="112"/>
      <c r="H90" s="114"/>
    </row>
    <row r="91" spans="1:8">
      <c r="A91" s="113"/>
      <c r="B91" s="113"/>
      <c r="C91" s="113"/>
      <c r="D91" s="112"/>
      <c r="E91" s="112"/>
      <c r="F91" s="113"/>
      <c r="G91" s="112"/>
      <c r="H91" s="114"/>
    </row>
    <row r="92" spans="1:8">
      <c r="A92" s="113"/>
      <c r="B92" s="113"/>
      <c r="C92" s="113"/>
      <c r="D92" s="112"/>
      <c r="E92" s="112"/>
      <c r="F92" s="113"/>
      <c r="G92" s="112"/>
      <c r="H92" s="114"/>
    </row>
    <row r="93" spans="1:8">
      <c r="A93" s="113"/>
      <c r="B93" s="113"/>
      <c r="C93" s="113"/>
      <c r="D93" s="112"/>
      <c r="E93" s="112"/>
      <c r="F93" s="113"/>
      <c r="G93" s="112"/>
      <c r="H93" s="114"/>
    </row>
    <row r="94" spans="1:8">
      <c r="A94" s="113"/>
      <c r="B94" s="113"/>
      <c r="C94" s="113"/>
      <c r="D94" s="112"/>
      <c r="E94" s="112"/>
      <c r="F94" s="113"/>
      <c r="G94" s="112"/>
      <c r="H94" s="114"/>
    </row>
    <row r="95" spans="1:8">
      <c r="A95" s="113"/>
      <c r="B95" s="113"/>
      <c r="C95" s="113"/>
      <c r="D95" s="112"/>
      <c r="E95" s="112"/>
      <c r="F95" s="113"/>
      <c r="G95" s="112"/>
      <c r="H95" s="114"/>
    </row>
    <row r="96" spans="1:8">
      <c r="A96" s="113"/>
      <c r="B96" s="113"/>
      <c r="C96" s="113"/>
      <c r="D96" s="112"/>
      <c r="E96" s="112"/>
      <c r="F96" s="113"/>
      <c r="G96" s="112"/>
      <c r="H96" s="114"/>
    </row>
    <row r="97" spans="1:8">
      <c r="A97" s="113"/>
      <c r="B97" s="113"/>
      <c r="C97" s="113"/>
      <c r="D97" s="112"/>
      <c r="E97" s="112"/>
      <c r="F97" s="113"/>
      <c r="G97" s="112"/>
      <c r="H97" s="114"/>
    </row>
    <row r="98" spans="1:8">
      <c r="A98" s="113"/>
      <c r="B98" s="113"/>
      <c r="C98" s="113"/>
      <c r="D98" s="112"/>
      <c r="E98" s="112"/>
      <c r="F98" s="113"/>
      <c r="G98" s="112"/>
      <c r="H98" s="114"/>
    </row>
    <row r="99" spans="1:8">
      <c r="A99" s="113"/>
      <c r="B99" s="113"/>
      <c r="C99" s="113"/>
      <c r="D99" s="112"/>
      <c r="E99" s="112"/>
      <c r="F99" s="113"/>
      <c r="G99" s="112"/>
      <c r="H99" s="114"/>
    </row>
    <row r="100" spans="1:8">
      <c r="A100" s="113"/>
      <c r="B100" s="113"/>
      <c r="C100" s="113"/>
      <c r="D100" s="112"/>
      <c r="E100" s="112"/>
      <c r="F100" s="113"/>
      <c r="G100" s="112"/>
      <c r="H100" s="114"/>
    </row>
    <row r="101" spans="1:8">
      <c r="A101" s="113"/>
      <c r="B101" s="113"/>
      <c r="C101" s="113"/>
      <c r="D101" s="112"/>
      <c r="E101" s="112"/>
      <c r="F101" s="113"/>
      <c r="G101" s="112"/>
      <c r="H101" s="114"/>
    </row>
    <row r="102" spans="1:8">
      <c r="A102" s="113"/>
      <c r="B102" s="113"/>
      <c r="C102" s="113"/>
      <c r="D102" s="112"/>
      <c r="E102" s="112"/>
      <c r="F102" s="113"/>
      <c r="G102" s="112"/>
      <c r="H102" s="114"/>
    </row>
    <row r="103" spans="1:8">
      <c r="A103" s="113"/>
      <c r="B103" s="113"/>
      <c r="C103" s="113"/>
      <c r="D103" s="112"/>
      <c r="E103" s="112"/>
      <c r="F103" s="113"/>
      <c r="G103" s="112"/>
      <c r="H103" s="114"/>
    </row>
    <row r="104" spans="1:8">
      <c r="A104" s="113"/>
      <c r="B104" s="113"/>
      <c r="C104" s="113"/>
      <c r="D104" s="112"/>
      <c r="E104" s="112"/>
      <c r="F104" s="113"/>
      <c r="G104" s="112"/>
      <c r="H104" s="114"/>
    </row>
    <row r="105" spans="1:8">
      <c r="A105" s="113"/>
      <c r="B105" s="113"/>
      <c r="C105" s="113"/>
      <c r="D105" s="112"/>
      <c r="E105" s="112"/>
      <c r="F105" s="113"/>
      <c r="G105" s="112"/>
      <c r="H105" s="114"/>
    </row>
    <row r="106" spans="1:8">
      <c r="A106" s="113"/>
      <c r="B106" s="113"/>
      <c r="C106" s="113"/>
      <c r="D106" s="112"/>
      <c r="E106" s="112"/>
      <c r="F106" s="113"/>
      <c r="G106" s="112"/>
      <c r="H106" s="114"/>
    </row>
    <row r="107" spans="1:8">
      <c r="A107" s="113"/>
      <c r="B107" s="113"/>
      <c r="C107" s="113"/>
      <c r="D107" s="112"/>
      <c r="E107" s="112"/>
      <c r="F107" s="113"/>
      <c r="G107" s="112"/>
      <c r="H107" s="114"/>
    </row>
    <row r="108" spans="1:8">
      <c r="A108" s="113"/>
      <c r="B108" s="113"/>
      <c r="C108" s="113"/>
      <c r="D108" s="112"/>
      <c r="E108" s="112"/>
      <c r="F108" s="113"/>
      <c r="G108" s="112"/>
      <c r="H108" s="114"/>
    </row>
    <row r="109" spans="1:8">
      <c r="A109" s="113"/>
      <c r="B109" s="113"/>
      <c r="C109" s="113"/>
      <c r="D109" s="112"/>
      <c r="E109" s="112"/>
      <c r="F109" s="113"/>
      <c r="G109" s="112"/>
      <c r="H109" s="114"/>
    </row>
    <row r="110" spans="1:8">
      <c r="A110" s="113"/>
      <c r="B110" s="113"/>
      <c r="C110" s="113"/>
      <c r="D110" s="112"/>
      <c r="E110" s="112"/>
      <c r="F110" s="113"/>
      <c r="G110" s="112"/>
      <c r="H110" s="114"/>
    </row>
    <row r="111" spans="1:8">
      <c r="A111" s="113"/>
      <c r="B111" s="113"/>
      <c r="C111" s="113"/>
      <c r="D111" s="112"/>
      <c r="E111" s="112"/>
      <c r="F111" s="113"/>
      <c r="G111" s="112"/>
      <c r="H111" s="114"/>
    </row>
    <row r="112" spans="1:8">
      <c r="A112" s="113"/>
      <c r="B112" s="113"/>
      <c r="C112" s="113"/>
      <c r="D112" s="112"/>
      <c r="E112" s="112"/>
      <c r="F112" s="113"/>
      <c r="G112" s="112"/>
      <c r="H112" s="114"/>
    </row>
    <row r="113" spans="1:8">
      <c r="A113" s="113"/>
      <c r="B113" s="113"/>
      <c r="C113" s="113"/>
      <c r="D113" s="112"/>
      <c r="E113" s="112"/>
      <c r="F113" s="113"/>
      <c r="G113" s="112"/>
      <c r="H113" s="114"/>
    </row>
    <row r="114" spans="1:8">
      <c r="A114" s="113"/>
      <c r="B114" s="113"/>
      <c r="C114" s="113"/>
      <c r="D114" s="112"/>
      <c r="E114" s="112"/>
      <c r="F114" s="113"/>
      <c r="G114" s="112"/>
      <c r="H114" s="114"/>
    </row>
    <row r="115" spans="1:8">
      <c r="A115" s="113"/>
      <c r="B115" s="113"/>
      <c r="C115" s="113"/>
      <c r="D115" s="112"/>
      <c r="E115" s="112"/>
      <c r="F115" s="113"/>
      <c r="G115" s="112"/>
      <c r="H115" s="114"/>
    </row>
    <row r="116" spans="1:8">
      <c r="A116" s="113"/>
      <c r="B116" s="113"/>
      <c r="C116" s="113"/>
      <c r="D116" s="112"/>
      <c r="E116" s="112"/>
      <c r="F116" s="113"/>
      <c r="G116" s="112"/>
      <c r="H116" s="114"/>
    </row>
    <row r="117" spans="1:8">
      <c r="A117" s="113"/>
      <c r="B117" s="113"/>
      <c r="C117" s="113"/>
      <c r="D117" s="112"/>
      <c r="E117" s="112"/>
      <c r="F117" s="113"/>
      <c r="G117" s="112"/>
      <c r="H117" s="114"/>
    </row>
    <row r="118" spans="1:8">
      <c r="A118" s="113"/>
      <c r="B118" s="113"/>
      <c r="C118" s="113"/>
      <c r="D118" s="112"/>
      <c r="E118" s="112"/>
      <c r="F118" s="113"/>
      <c r="G118" s="112"/>
      <c r="H118" s="114"/>
    </row>
    <row r="119" spans="1:8">
      <c r="A119" s="113"/>
      <c r="B119" s="113"/>
      <c r="C119" s="113"/>
      <c r="D119" s="112"/>
      <c r="E119" s="112"/>
      <c r="F119" s="113"/>
      <c r="G119" s="112"/>
      <c r="H119" s="114"/>
    </row>
    <row r="120" spans="1:8">
      <c r="A120" s="113"/>
      <c r="B120" s="113"/>
      <c r="C120" s="113"/>
      <c r="D120" s="112"/>
      <c r="E120" s="112"/>
      <c r="F120" s="113"/>
      <c r="G120" s="112"/>
      <c r="H120" s="114"/>
    </row>
    <row r="121" spans="1:8">
      <c r="A121" s="113"/>
      <c r="B121" s="113"/>
      <c r="C121" s="113"/>
      <c r="D121" s="112"/>
      <c r="E121" s="112"/>
      <c r="F121" s="113"/>
      <c r="G121" s="112"/>
      <c r="H121" s="114"/>
    </row>
    <row r="122" spans="1:8">
      <c r="A122" s="113"/>
      <c r="B122" s="113"/>
      <c r="C122" s="113"/>
      <c r="D122" s="112"/>
      <c r="E122" s="112"/>
      <c r="F122" s="113"/>
      <c r="G122" s="112"/>
      <c r="H122" s="114"/>
    </row>
    <row r="123" spans="1:8">
      <c r="A123" s="113"/>
      <c r="B123" s="113"/>
      <c r="C123" s="113"/>
      <c r="D123" s="112"/>
      <c r="E123" s="112"/>
      <c r="F123" s="113"/>
      <c r="G123" s="112"/>
      <c r="H123" s="114"/>
    </row>
    <row r="124" spans="1:8">
      <c r="A124" s="113"/>
      <c r="B124" s="113"/>
      <c r="C124" s="113"/>
      <c r="D124" s="112"/>
      <c r="E124" s="112"/>
      <c r="F124" s="113"/>
      <c r="G124" s="112"/>
      <c r="H124" s="114"/>
    </row>
    <row r="125" spans="1:8">
      <c r="A125" s="113"/>
      <c r="B125" s="113"/>
      <c r="C125" s="113"/>
      <c r="D125" s="112"/>
      <c r="E125" s="112"/>
      <c r="F125" s="113"/>
      <c r="G125" s="112"/>
      <c r="H125" s="114"/>
    </row>
    <row r="126" spans="1:8">
      <c r="A126" s="113"/>
      <c r="B126" s="113"/>
      <c r="C126" s="113"/>
      <c r="D126" s="112"/>
      <c r="E126" s="112"/>
      <c r="F126" s="113"/>
      <c r="G126" s="112"/>
      <c r="H126" s="114"/>
    </row>
    <row r="127" spans="1:8">
      <c r="A127" s="113"/>
      <c r="B127" s="113"/>
      <c r="C127" s="113"/>
      <c r="D127" s="112"/>
      <c r="E127" s="112"/>
      <c r="F127" s="113"/>
      <c r="G127" s="112"/>
      <c r="H127" s="114"/>
    </row>
    <row r="128" spans="1:8">
      <c r="A128" s="113"/>
      <c r="B128" s="113"/>
      <c r="C128" s="113"/>
      <c r="D128" s="112"/>
      <c r="E128" s="112"/>
      <c r="F128" s="113"/>
      <c r="G128" s="112"/>
      <c r="H128" s="114"/>
    </row>
    <row r="129" spans="1:8">
      <c r="A129" s="113"/>
      <c r="B129" s="113"/>
      <c r="C129" s="113"/>
      <c r="D129" s="112"/>
      <c r="E129" s="112"/>
      <c r="F129" s="113"/>
      <c r="G129" s="112"/>
      <c r="H129" s="114"/>
    </row>
    <row r="130" spans="1:8">
      <c r="A130" s="113"/>
      <c r="B130" s="113"/>
      <c r="C130" s="113"/>
      <c r="D130" s="112"/>
      <c r="E130" s="112"/>
      <c r="F130" s="113"/>
      <c r="G130" s="112"/>
      <c r="H130" s="114"/>
    </row>
    <row r="131" spans="1:8">
      <c r="A131" s="113"/>
      <c r="B131" s="113"/>
      <c r="C131" s="113"/>
      <c r="D131" s="112"/>
      <c r="E131" s="112"/>
      <c r="F131" s="113"/>
      <c r="G131" s="112"/>
      <c r="H131" s="114"/>
    </row>
    <row r="132" spans="1:8">
      <c r="A132" s="113"/>
      <c r="B132" s="113"/>
      <c r="C132" s="113"/>
      <c r="D132" s="112"/>
      <c r="E132" s="112"/>
      <c r="F132" s="113"/>
      <c r="G132" s="112"/>
      <c r="H132" s="114"/>
    </row>
    <row r="133" spans="1:8">
      <c r="A133" s="113"/>
      <c r="B133" s="113"/>
      <c r="C133" s="113"/>
      <c r="D133" s="112"/>
      <c r="E133" s="112"/>
      <c r="F133" s="113"/>
      <c r="G133" s="112"/>
      <c r="H133" s="114"/>
    </row>
    <row r="134" spans="1:8">
      <c r="A134" s="113"/>
      <c r="B134" s="113"/>
      <c r="C134" s="113"/>
      <c r="D134" s="112"/>
      <c r="E134" s="112"/>
      <c r="F134" s="113"/>
      <c r="G134" s="112"/>
      <c r="H134" s="114"/>
    </row>
    <row r="135" spans="1:8">
      <c r="A135" s="113"/>
      <c r="B135" s="113"/>
      <c r="C135" s="113"/>
      <c r="D135" s="112"/>
      <c r="E135" s="112"/>
      <c r="F135" s="113"/>
      <c r="G135" s="112"/>
      <c r="H135" s="114"/>
    </row>
    <row r="136" spans="1:8">
      <c r="A136" s="113"/>
      <c r="B136" s="113"/>
      <c r="C136" s="113"/>
      <c r="D136" s="112"/>
      <c r="E136" s="112"/>
      <c r="F136" s="113"/>
      <c r="G136" s="112"/>
      <c r="H136" s="114"/>
    </row>
    <row r="137" spans="1:8">
      <c r="A137" s="113"/>
      <c r="B137" s="113"/>
      <c r="C137" s="113"/>
      <c r="D137" s="112"/>
      <c r="E137" s="112"/>
      <c r="F137" s="113"/>
      <c r="G137" s="112"/>
      <c r="H137" s="114"/>
    </row>
    <row r="138" spans="1:8">
      <c r="A138" s="113"/>
      <c r="B138" s="113"/>
      <c r="C138" s="113"/>
      <c r="D138" s="112"/>
      <c r="E138" s="112"/>
      <c r="F138" s="113"/>
      <c r="G138" s="112"/>
      <c r="H138" s="114"/>
    </row>
    <row r="139" spans="1:8">
      <c r="A139" s="113"/>
      <c r="B139" s="113"/>
      <c r="C139" s="113"/>
      <c r="D139" s="112"/>
      <c r="E139" s="112"/>
      <c r="F139" s="113"/>
      <c r="G139" s="112"/>
      <c r="H139" s="114"/>
    </row>
    <row r="140" spans="1:8">
      <c r="A140" s="113"/>
      <c r="B140" s="113"/>
      <c r="C140" s="113"/>
      <c r="D140" s="112"/>
      <c r="E140" s="112"/>
      <c r="F140" s="113"/>
      <c r="G140" s="112"/>
      <c r="H140" s="114"/>
    </row>
    <row r="141" spans="1:8">
      <c r="A141" s="113"/>
      <c r="B141" s="113"/>
      <c r="C141" s="113"/>
      <c r="D141" s="112"/>
      <c r="E141" s="112"/>
      <c r="F141" s="113"/>
      <c r="G141" s="112"/>
      <c r="H141" s="114"/>
    </row>
    <row r="142" spans="1:8">
      <c r="A142" s="113"/>
      <c r="B142" s="113"/>
      <c r="C142" s="113"/>
      <c r="D142" s="112"/>
      <c r="E142" s="112"/>
      <c r="F142" s="113"/>
      <c r="G142" s="112"/>
      <c r="H142" s="114"/>
    </row>
    <row r="143" spans="1:8">
      <c r="A143" s="113"/>
      <c r="B143" s="113"/>
      <c r="C143" s="113"/>
      <c r="D143" s="112"/>
      <c r="E143" s="112"/>
      <c r="F143" s="113"/>
      <c r="G143" s="112"/>
      <c r="H143" s="114"/>
    </row>
    <row r="144" spans="1:8">
      <c r="A144" s="113"/>
      <c r="B144" s="113"/>
      <c r="C144" s="113"/>
      <c r="D144" s="112"/>
      <c r="E144" s="112"/>
      <c r="F144" s="113"/>
      <c r="G144" s="112"/>
      <c r="H144" s="114"/>
    </row>
    <row r="145" spans="1:8">
      <c r="A145" s="113"/>
      <c r="B145" s="113"/>
      <c r="C145" s="113"/>
      <c r="D145" s="112"/>
      <c r="E145" s="112"/>
      <c r="F145" s="113"/>
      <c r="G145" s="112"/>
      <c r="H145" s="114"/>
    </row>
    <row r="146" spans="1:8">
      <c r="A146" s="113"/>
      <c r="B146" s="113"/>
      <c r="C146" s="113"/>
      <c r="D146" s="112"/>
      <c r="E146" s="112"/>
      <c r="F146" s="113"/>
      <c r="G146" s="112"/>
      <c r="H146" s="114"/>
    </row>
    <row r="147" spans="1:8">
      <c r="A147" s="113"/>
      <c r="B147" s="113"/>
      <c r="C147" s="113"/>
      <c r="D147" s="112"/>
      <c r="E147" s="112"/>
      <c r="F147" s="113"/>
      <c r="G147" s="112"/>
      <c r="H147" s="114"/>
    </row>
    <row r="148" spans="1:8">
      <c r="A148" s="113"/>
      <c r="B148" s="113"/>
      <c r="C148" s="113"/>
      <c r="D148" s="112"/>
      <c r="E148" s="112"/>
      <c r="F148" s="113"/>
      <c r="G148" s="112"/>
      <c r="H148" s="114"/>
    </row>
    <row r="149" spans="1:8">
      <c r="A149" s="113"/>
      <c r="B149" s="113"/>
      <c r="C149" s="113"/>
      <c r="D149" s="112"/>
      <c r="E149" s="112"/>
      <c r="F149" s="113"/>
      <c r="G149" s="112"/>
      <c r="H149" s="114"/>
    </row>
    <row r="150" spans="1:8">
      <c r="A150" s="113"/>
      <c r="B150" s="113"/>
      <c r="C150" s="113"/>
      <c r="D150" s="112"/>
      <c r="E150" s="112"/>
      <c r="F150" s="113"/>
      <c r="G150" s="112"/>
      <c r="H150" s="114"/>
    </row>
    <row r="151" spans="1:8">
      <c r="A151" s="113"/>
      <c r="B151" s="113"/>
      <c r="C151" s="113"/>
      <c r="D151" s="112"/>
      <c r="E151" s="112"/>
      <c r="F151" s="113"/>
      <c r="G151" s="112"/>
      <c r="H151" s="114"/>
    </row>
    <row r="152" spans="1:8">
      <c r="A152" s="113"/>
      <c r="B152" s="113"/>
      <c r="C152" s="113"/>
      <c r="D152" s="112"/>
      <c r="E152" s="112"/>
      <c r="F152" s="113"/>
      <c r="G152" s="112"/>
      <c r="H152" s="114"/>
    </row>
    <row r="153" spans="1:8">
      <c r="A153" s="113"/>
      <c r="B153" s="113"/>
      <c r="C153" s="113"/>
      <c r="D153" s="112"/>
      <c r="E153" s="112"/>
      <c r="F153" s="113"/>
      <c r="G153" s="112"/>
      <c r="H153" s="114"/>
    </row>
    <row r="154" spans="1:8">
      <c r="A154" s="113"/>
      <c r="B154" s="113"/>
      <c r="C154" s="113"/>
      <c r="D154" s="112"/>
      <c r="E154" s="112"/>
      <c r="F154" s="113"/>
      <c r="G154" s="112"/>
      <c r="H154" s="114"/>
    </row>
    <row r="155" spans="1:8">
      <c r="A155" s="113"/>
      <c r="B155" s="113"/>
      <c r="C155" s="113"/>
      <c r="D155" s="112"/>
      <c r="E155" s="112"/>
      <c r="F155" s="113"/>
      <c r="G155" s="112"/>
      <c r="H155" s="114"/>
    </row>
    <row r="156" spans="1:8">
      <c r="A156" s="113"/>
      <c r="B156" s="113"/>
      <c r="C156" s="113"/>
      <c r="D156" s="112"/>
      <c r="E156" s="112"/>
      <c r="F156" s="113"/>
      <c r="G156" s="112"/>
      <c r="H156" s="114"/>
    </row>
    <row r="157" spans="1:8">
      <c r="A157" s="113"/>
      <c r="B157" s="113"/>
      <c r="C157" s="113"/>
      <c r="D157" s="112"/>
      <c r="E157" s="112"/>
      <c r="F157" s="113"/>
      <c r="G157" s="112"/>
      <c r="H157" s="114"/>
    </row>
    <row r="158" spans="1:8">
      <c r="A158" s="113"/>
      <c r="B158" s="113"/>
      <c r="C158" s="113"/>
      <c r="D158" s="112"/>
      <c r="E158" s="112"/>
      <c r="F158" s="113"/>
      <c r="G158" s="112"/>
      <c r="H158" s="114"/>
    </row>
    <row r="159" spans="1:8">
      <c r="A159" s="113"/>
      <c r="B159" s="113"/>
      <c r="C159" s="113"/>
      <c r="D159" s="112"/>
      <c r="E159" s="112"/>
      <c r="F159" s="113"/>
      <c r="G159" s="112"/>
      <c r="H159" s="114"/>
    </row>
    <row r="160" spans="1:8">
      <c r="A160" s="113"/>
      <c r="B160" s="113"/>
      <c r="C160" s="113"/>
      <c r="D160" s="112"/>
      <c r="E160" s="112"/>
      <c r="F160" s="113"/>
      <c r="G160" s="112"/>
      <c r="H160" s="114"/>
    </row>
    <row r="161" spans="1:8">
      <c r="A161" s="113"/>
      <c r="B161" s="113"/>
      <c r="C161" s="113"/>
      <c r="D161" s="112"/>
      <c r="E161" s="112"/>
      <c r="F161" s="113"/>
      <c r="G161" s="112"/>
      <c r="H161" s="114"/>
    </row>
    <row r="162" spans="1:8">
      <c r="A162" s="113"/>
      <c r="B162" s="113"/>
      <c r="C162" s="113"/>
      <c r="D162" s="112"/>
      <c r="E162" s="112"/>
      <c r="F162" s="113"/>
      <c r="G162" s="112"/>
      <c r="H162" s="114"/>
    </row>
    <row r="163" spans="1:8">
      <c r="A163" s="113"/>
      <c r="B163" s="113"/>
      <c r="C163" s="113"/>
      <c r="D163" s="112"/>
      <c r="E163" s="112"/>
      <c r="F163" s="113"/>
      <c r="G163" s="112"/>
      <c r="H163" s="114"/>
    </row>
    <row r="164" spans="1:8">
      <c r="A164" s="113"/>
      <c r="B164" s="113"/>
      <c r="C164" s="113"/>
      <c r="D164" s="112"/>
      <c r="E164" s="112"/>
      <c r="F164" s="113"/>
      <c r="G164" s="112"/>
      <c r="H164" s="114"/>
    </row>
    <row r="165" spans="1:8">
      <c r="A165" s="113"/>
      <c r="B165" s="113"/>
      <c r="C165" s="113"/>
      <c r="D165" s="112"/>
      <c r="E165" s="112"/>
      <c r="F165" s="113"/>
      <c r="G165" s="112"/>
      <c r="H165" s="114"/>
    </row>
    <row r="166" spans="1:8">
      <c r="A166" s="113"/>
      <c r="B166" s="113"/>
      <c r="C166" s="113"/>
      <c r="D166" s="112"/>
      <c r="E166" s="112"/>
      <c r="F166" s="113"/>
      <c r="G166" s="112"/>
      <c r="H166" s="114"/>
    </row>
    <row r="167" spans="1:8">
      <c r="A167" s="113"/>
      <c r="B167" s="113"/>
      <c r="C167" s="113"/>
      <c r="D167" s="112"/>
      <c r="E167" s="112"/>
      <c r="F167" s="113"/>
      <c r="G167" s="112"/>
      <c r="H167" s="114"/>
    </row>
    <row r="168" spans="1:8">
      <c r="A168" s="113"/>
      <c r="B168" s="113"/>
      <c r="C168" s="113"/>
      <c r="D168" s="112"/>
      <c r="E168" s="112"/>
      <c r="F168" s="113"/>
      <c r="G168" s="112"/>
      <c r="H168" s="114"/>
    </row>
    <row r="169" spans="1:8">
      <c r="A169" s="113"/>
      <c r="B169" s="113"/>
      <c r="C169" s="113"/>
      <c r="D169" s="112"/>
      <c r="E169" s="112"/>
      <c r="F169" s="113"/>
      <c r="G169" s="112"/>
      <c r="H169" s="114"/>
    </row>
    <row r="170" spans="1:8">
      <c r="A170" s="113"/>
      <c r="B170" s="113"/>
      <c r="C170" s="113"/>
      <c r="D170" s="112"/>
      <c r="E170" s="112"/>
      <c r="F170" s="113"/>
      <c r="G170" s="112"/>
      <c r="H170" s="114"/>
    </row>
    <row r="171" spans="1:8">
      <c r="A171" s="113"/>
      <c r="B171" s="113"/>
      <c r="C171" s="113"/>
      <c r="D171" s="112"/>
      <c r="E171" s="112"/>
      <c r="F171" s="113"/>
      <c r="G171" s="112"/>
      <c r="H171" s="114"/>
    </row>
    <row r="172" spans="1:8">
      <c r="A172" s="113"/>
      <c r="B172" s="113"/>
      <c r="C172" s="113"/>
      <c r="D172" s="112"/>
      <c r="E172" s="112"/>
      <c r="F172" s="113"/>
      <c r="G172" s="112"/>
      <c r="H172" s="114"/>
    </row>
    <row r="173" spans="1:8">
      <c r="A173" s="113"/>
      <c r="B173" s="113"/>
      <c r="C173" s="113"/>
      <c r="D173" s="112"/>
      <c r="E173" s="112"/>
      <c r="F173" s="113"/>
      <c r="G173" s="112"/>
      <c r="H173" s="114"/>
    </row>
    <row r="174" spans="1:8">
      <c r="A174" s="113"/>
      <c r="B174" s="113"/>
      <c r="C174" s="113"/>
      <c r="D174" s="112"/>
      <c r="E174" s="112"/>
      <c r="F174" s="113"/>
      <c r="G174" s="112"/>
      <c r="H174" s="114"/>
    </row>
    <row r="175" spans="1:8">
      <c r="A175" s="113"/>
      <c r="B175" s="113"/>
      <c r="C175" s="113"/>
      <c r="D175" s="112"/>
      <c r="E175" s="112"/>
      <c r="F175" s="113"/>
      <c r="G175" s="112"/>
      <c r="H175" s="114"/>
    </row>
    <row r="176" spans="1:8">
      <c r="A176" s="113"/>
      <c r="B176" s="113"/>
      <c r="C176" s="113"/>
      <c r="D176" s="112"/>
      <c r="E176" s="112"/>
      <c r="F176" s="113"/>
      <c r="G176" s="112"/>
      <c r="H176" s="114"/>
    </row>
    <row r="177" spans="1:8">
      <c r="A177" s="113"/>
      <c r="B177" s="113"/>
      <c r="C177" s="113"/>
      <c r="D177" s="112"/>
      <c r="E177" s="112"/>
      <c r="F177" s="113"/>
      <c r="G177" s="112"/>
      <c r="H177" s="114"/>
    </row>
    <row r="178" spans="1:8">
      <c r="A178" s="113"/>
      <c r="B178" s="113"/>
      <c r="C178" s="113"/>
      <c r="D178" s="112"/>
      <c r="E178" s="112"/>
      <c r="F178" s="113"/>
      <c r="G178" s="112"/>
      <c r="H178" s="114"/>
    </row>
    <row r="179" spans="1:8">
      <c r="A179" s="113"/>
      <c r="B179" s="113"/>
      <c r="C179" s="113"/>
      <c r="D179" s="112"/>
      <c r="E179" s="112"/>
      <c r="F179" s="113"/>
      <c r="G179" s="112"/>
      <c r="H179" s="114"/>
    </row>
    <row r="180" spans="1:8">
      <c r="A180" s="113"/>
      <c r="B180" s="113"/>
      <c r="C180" s="113"/>
      <c r="D180" s="112"/>
      <c r="E180" s="112"/>
      <c r="F180" s="113"/>
      <c r="G180" s="112"/>
      <c r="H180" s="114"/>
    </row>
    <row r="181" spans="1:8">
      <c r="A181" s="113"/>
      <c r="B181" s="113"/>
      <c r="C181" s="113"/>
      <c r="D181" s="112"/>
      <c r="E181" s="112"/>
      <c r="F181" s="113"/>
      <c r="G181" s="112"/>
      <c r="H181" s="114"/>
    </row>
    <row r="182" spans="1:8">
      <c r="A182" s="113"/>
      <c r="B182" s="113"/>
      <c r="C182" s="113"/>
      <c r="D182" s="112"/>
      <c r="E182" s="112"/>
      <c r="F182" s="113"/>
      <c r="G182" s="112"/>
      <c r="H182" s="114"/>
    </row>
    <row r="183" spans="1:8">
      <c r="A183" s="113"/>
      <c r="B183" s="113"/>
      <c r="C183" s="113"/>
      <c r="D183" s="112"/>
      <c r="E183" s="112"/>
      <c r="F183" s="113"/>
      <c r="G183" s="112"/>
      <c r="H183" s="114"/>
    </row>
    <row r="184" spans="1:8">
      <c r="A184" s="113"/>
      <c r="B184" s="113"/>
      <c r="C184" s="113"/>
      <c r="D184" s="112"/>
      <c r="E184" s="112"/>
      <c r="F184" s="113"/>
      <c r="G184" s="112"/>
      <c r="H184" s="114"/>
    </row>
    <row r="185" spans="1:8">
      <c r="A185" s="113"/>
      <c r="B185" s="113"/>
      <c r="C185" s="113"/>
      <c r="D185" s="112"/>
      <c r="E185" s="112"/>
      <c r="F185" s="113"/>
      <c r="G185" s="112"/>
      <c r="H185" s="114"/>
    </row>
    <row r="186" spans="1:8">
      <c r="A186" s="113"/>
      <c r="B186" s="113"/>
      <c r="C186" s="113"/>
      <c r="D186" s="112"/>
      <c r="E186" s="112"/>
      <c r="F186" s="113"/>
      <c r="G186" s="112"/>
      <c r="H186" s="114"/>
    </row>
    <row r="187" spans="1:8">
      <c r="A187" s="113"/>
      <c r="B187" s="113"/>
      <c r="C187" s="113"/>
      <c r="D187" s="112"/>
      <c r="E187" s="112"/>
      <c r="F187" s="113"/>
      <c r="G187" s="112"/>
      <c r="H187" s="114"/>
    </row>
    <row r="188" spans="1:8">
      <c r="A188" s="113"/>
      <c r="B188" s="113"/>
      <c r="C188" s="113"/>
      <c r="D188" s="112"/>
      <c r="E188" s="112"/>
      <c r="F188" s="113"/>
      <c r="G188" s="112"/>
      <c r="H188" s="114"/>
    </row>
    <row r="189" spans="1:8">
      <c r="A189" s="113"/>
      <c r="B189" s="113"/>
      <c r="C189" s="113"/>
      <c r="D189" s="112"/>
      <c r="E189" s="112"/>
      <c r="F189" s="113"/>
      <c r="G189" s="112"/>
      <c r="H189" s="114"/>
    </row>
    <row r="190" spans="1:8">
      <c r="A190" s="113"/>
      <c r="B190" s="113"/>
      <c r="C190" s="113"/>
      <c r="D190" s="112"/>
      <c r="E190" s="112"/>
      <c r="F190" s="113"/>
      <c r="G190" s="112"/>
      <c r="H190" s="114"/>
    </row>
    <row r="191" spans="1:8">
      <c r="A191" s="113"/>
      <c r="B191" s="113"/>
      <c r="C191" s="113"/>
      <c r="D191" s="112"/>
      <c r="E191" s="112"/>
      <c r="F191" s="113"/>
      <c r="G191" s="112"/>
      <c r="H191" s="114"/>
    </row>
    <row r="192" spans="1:8">
      <c r="A192" s="113"/>
      <c r="B192" s="113"/>
      <c r="C192" s="113"/>
      <c r="D192" s="112"/>
      <c r="E192" s="112"/>
      <c r="F192" s="113"/>
      <c r="G192" s="112"/>
      <c r="H192" s="114"/>
    </row>
    <row r="193" spans="1:8">
      <c r="A193" s="113"/>
      <c r="B193" s="113"/>
      <c r="C193" s="113"/>
      <c r="D193" s="112"/>
      <c r="E193" s="112"/>
      <c r="F193" s="113"/>
      <c r="G193" s="112"/>
      <c r="H193" s="114"/>
    </row>
    <row r="194" spans="1:8">
      <c r="A194" s="113"/>
      <c r="B194" s="113"/>
      <c r="C194" s="113"/>
      <c r="D194" s="112"/>
      <c r="E194" s="112"/>
      <c r="F194" s="113"/>
      <c r="G194" s="112"/>
      <c r="H194" s="114"/>
    </row>
    <row r="195" spans="1:8">
      <c r="A195" s="113"/>
      <c r="B195" s="113"/>
      <c r="C195" s="113"/>
      <c r="D195" s="112"/>
      <c r="E195" s="112"/>
      <c r="F195" s="113"/>
      <c r="G195" s="112"/>
      <c r="H195" s="114"/>
    </row>
    <row r="196" spans="1:8">
      <c r="A196" s="113"/>
      <c r="B196" s="113"/>
      <c r="C196" s="113"/>
      <c r="D196" s="112"/>
      <c r="E196" s="112"/>
      <c r="F196" s="113"/>
      <c r="G196" s="112"/>
      <c r="H196" s="114"/>
    </row>
    <row r="197" spans="1:8">
      <c r="A197" s="113"/>
      <c r="B197" s="113"/>
      <c r="C197" s="113"/>
      <c r="D197" s="112"/>
      <c r="E197" s="112"/>
      <c r="F197" s="113"/>
      <c r="G197" s="112"/>
      <c r="H197" s="114"/>
    </row>
    <row r="198" spans="1:8">
      <c r="A198" s="113"/>
      <c r="B198" s="113"/>
      <c r="C198" s="113"/>
      <c r="D198" s="112"/>
      <c r="E198" s="112"/>
      <c r="F198" s="113"/>
      <c r="G198" s="112"/>
      <c r="H198" s="114"/>
    </row>
    <row r="199" spans="1:8">
      <c r="A199" s="113"/>
      <c r="B199" s="113"/>
      <c r="C199" s="113"/>
      <c r="D199" s="112"/>
      <c r="E199" s="112"/>
      <c r="F199" s="113"/>
      <c r="G199" s="112"/>
      <c r="H199" s="114"/>
    </row>
    <row r="200" spans="1:8">
      <c r="A200" s="113"/>
      <c r="B200" s="113"/>
      <c r="C200" s="113"/>
      <c r="D200" s="112"/>
      <c r="E200" s="112"/>
      <c r="F200" s="113"/>
      <c r="G200" s="112"/>
      <c r="H200" s="114"/>
    </row>
    <row r="201" spans="1:8">
      <c r="A201" s="134"/>
      <c r="B201" s="134"/>
      <c r="C201" s="134"/>
      <c r="D201" s="112"/>
      <c r="E201" s="112"/>
      <c r="F201" s="113"/>
      <c r="G201" s="112"/>
      <c r="H201" s="114"/>
    </row>
    <row r="202" spans="1:8">
      <c r="A202" s="134"/>
      <c r="B202" s="134"/>
      <c r="C202" s="134"/>
      <c r="D202" s="112"/>
      <c r="E202" s="112"/>
      <c r="F202" s="113"/>
      <c r="G202" s="112"/>
      <c r="H202" s="114"/>
    </row>
    <row r="203" spans="1:8">
      <c r="A203" s="134"/>
      <c r="B203" s="134"/>
      <c r="C203" s="134"/>
      <c r="D203" s="112"/>
      <c r="E203" s="112"/>
      <c r="F203" s="113"/>
      <c r="G203" s="112"/>
      <c r="H203" s="114"/>
    </row>
    <row r="204" spans="1:8">
      <c r="A204" s="134"/>
      <c r="B204" s="134"/>
      <c r="C204" s="134"/>
      <c r="D204" s="112"/>
      <c r="E204" s="112"/>
      <c r="F204" s="113"/>
      <c r="G204" s="112"/>
      <c r="H204" s="114"/>
    </row>
    <row r="205" spans="1:8">
      <c r="A205" s="134"/>
      <c r="B205" s="134"/>
      <c r="C205" s="134"/>
      <c r="D205" s="112"/>
      <c r="E205" s="112"/>
      <c r="F205" s="113"/>
      <c r="G205" s="112"/>
      <c r="H205" s="114"/>
    </row>
    <row r="206" spans="1:8">
      <c r="A206" s="134"/>
      <c r="B206" s="134"/>
      <c r="C206" s="134"/>
      <c r="D206" s="112"/>
      <c r="E206" s="112"/>
      <c r="F206" s="113"/>
      <c r="G206" s="112"/>
      <c r="H206" s="114"/>
    </row>
    <row r="207" spans="1:8">
      <c r="A207" s="134"/>
      <c r="B207" s="134"/>
      <c r="C207" s="134"/>
      <c r="D207" s="112"/>
      <c r="E207" s="112"/>
      <c r="F207" s="113"/>
      <c r="G207" s="112"/>
      <c r="H207" s="114"/>
    </row>
    <row r="208" spans="1:8">
      <c r="A208" s="134"/>
      <c r="B208" s="134"/>
      <c r="C208" s="134"/>
      <c r="D208" s="112"/>
      <c r="E208" s="112"/>
      <c r="F208" s="113"/>
      <c r="G208" s="112"/>
      <c r="H208" s="114"/>
    </row>
    <row r="209" spans="1:8">
      <c r="A209" s="134"/>
      <c r="B209" s="134"/>
      <c r="C209" s="134"/>
      <c r="D209" s="112"/>
      <c r="E209" s="112"/>
      <c r="F209" s="113"/>
      <c r="G209" s="112"/>
      <c r="H209" s="114"/>
    </row>
    <row r="210" spans="1:8">
      <c r="A210" s="134"/>
      <c r="B210" s="134"/>
      <c r="C210" s="134"/>
      <c r="D210" s="112"/>
      <c r="E210" s="112"/>
      <c r="F210" s="113"/>
      <c r="G210" s="112"/>
      <c r="H210" s="114"/>
    </row>
    <row r="211" spans="1:8">
      <c r="A211" s="134"/>
      <c r="B211" s="134"/>
      <c r="C211" s="134"/>
      <c r="D211" s="112"/>
      <c r="E211" s="112"/>
      <c r="F211" s="113"/>
      <c r="G211" s="112"/>
      <c r="H211" s="114"/>
    </row>
    <row r="212" spans="1:8">
      <c r="A212" s="134"/>
      <c r="B212" s="134"/>
      <c r="C212" s="134"/>
      <c r="D212" s="112"/>
      <c r="E212" s="112"/>
      <c r="F212" s="113"/>
      <c r="G212" s="112"/>
      <c r="H212" s="114"/>
    </row>
    <row r="213" spans="1:8">
      <c r="A213" s="134"/>
      <c r="B213" s="134"/>
      <c r="C213" s="134"/>
      <c r="D213" s="112"/>
      <c r="E213" s="112"/>
      <c r="F213" s="113"/>
      <c r="G213" s="112"/>
      <c r="H213" s="114"/>
    </row>
    <row r="214" spans="1:8">
      <c r="A214" s="134"/>
      <c r="B214" s="134"/>
      <c r="C214" s="134"/>
      <c r="D214" s="112"/>
      <c r="E214" s="112"/>
      <c r="F214" s="113"/>
      <c r="G214" s="112"/>
      <c r="H214" s="114"/>
    </row>
    <row r="215" spans="1:8">
      <c r="A215" s="134"/>
      <c r="B215" s="134"/>
      <c r="C215" s="134"/>
      <c r="D215" s="112"/>
      <c r="E215" s="112"/>
      <c r="F215" s="113"/>
      <c r="G215" s="112"/>
      <c r="H215" s="114"/>
    </row>
    <row r="216" spans="1:8">
      <c r="A216" s="134"/>
      <c r="B216" s="134"/>
      <c r="C216" s="134"/>
      <c r="D216" s="112"/>
      <c r="E216" s="112"/>
      <c r="F216" s="113"/>
      <c r="G216" s="112"/>
      <c r="H216" s="114"/>
    </row>
    <row r="217" spans="1:8">
      <c r="A217" s="134"/>
      <c r="B217" s="134"/>
      <c r="C217" s="134"/>
      <c r="D217" s="112"/>
      <c r="E217" s="112"/>
      <c r="F217" s="113"/>
      <c r="G217" s="112"/>
      <c r="H217" s="114"/>
    </row>
    <row r="218" spans="1:8">
      <c r="A218" s="134"/>
      <c r="B218" s="134"/>
      <c r="C218" s="134"/>
      <c r="D218" s="112"/>
      <c r="E218" s="112"/>
      <c r="F218" s="113"/>
      <c r="G218" s="112"/>
      <c r="H218" s="114"/>
    </row>
    <row r="219" spans="1:8">
      <c r="A219" s="134"/>
      <c r="B219" s="134"/>
      <c r="C219" s="134"/>
      <c r="D219" s="112"/>
      <c r="E219" s="112"/>
      <c r="F219" s="113"/>
      <c r="G219" s="112"/>
      <c r="H219" s="114"/>
    </row>
    <row r="220" spans="1:8">
      <c r="A220" s="134"/>
      <c r="B220" s="134"/>
      <c r="C220" s="134"/>
      <c r="D220" s="112"/>
      <c r="E220" s="112"/>
      <c r="F220" s="113"/>
      <c r="G220" s="112"/>
      <c r="H220" s="114"/>
    </row>
    <row r="221" spans="1:8">
      <c r="A221" s="134"/>
      <c r="B221" s="134"/>
      <c r="C221" s="134"/>
      <c r="D221" s="112"/>
      <c r="E221" s="112"/>
      <c r="F221" s="113"/>
      <c r="G221" s="112"/>
      <c r="H221" s="114"/>
    </row>
    <row r="222" spans="1:8">
      <c r="A222" s="134"/>
      <c r="B222" s="134"/>
      <c r="C222" s="134"/>
      <c r="D222" s="112"/>
      <c r="E222" s="112"/>
      <c r="F222" s="113"/>
      <c r="G222" s="112"/>
      <c r="H222" s="114"/>
    </row>
    <row r="223" spans="1:8">
      <c r="A223" s="134"/>
      <c r="B223" s="134"/>
      <c r="C223" s="134"/>
      <c r="D223" s="112"/>
      <c r="E223" s="112"/>
      <c r="F223" s="113"/>
      <c r="G223" s="112"/>
      <c r="H223" s="114"/>
    </row>
    <row r="224" spans="1:8">
      <c r="A224" s="134"/>
      <c r="B224" s="134"/>
      <c r="C224" s="134"/>
      <c r="D224" s="112"/>
      <c r="E224" s="112"/>
      <c r="F224" s="113"/>
      <c r="G224" s="112"/>
      <c r="H224" s="114"/>
    </row>
    <row r="225" spans="1:8">
      <c r="A225" s="134"/>
      <c r="B225" s="134"/>
      <c r="C225" s="134"/>
      <c r="D225" s="112"/>
      <c r="E225" s="112"/>
      <c r="F225" s="113"/>
      <c r="G225" s="112"/>
      <c r="H225" s="114"/>
    </row>
    <row r="226" spans="1:8">
      <c r="A226" s="134"/>
      <c r="B226" s="134"/>
      <c r="C226" s="134"/>
      <c r="D226" s="112"/>
      <c r="E226" s="112"/>
      <c r="F226" s="113"/>
      <c r="G226" s="112"/>
      <c r="H226" s="114"/>
    </row>
    <row r="227" spans="1:8">
      <c r="A227" s="134"/>
      <c r="B227" s="134"/>
      <c r="C227" s="134"/>
      <c r="D227" s="112"/>
      <c r="E227" s="112"/>
      <c r="F227" s="113"/>
      <c r="G227" s="112"/>
      <c r="H227" s="114"/>
    </row>
    <row r="228" spans="1:8">
      <c r="A228" s="134"/>
      <c r="B228" s="134"/>
      <c r="C228" s="134"/>
      <c r="D228" s="112"/>
      <c r="E228" s="112"/>
      <c r="F228" s="113"/>
      <c r="G228" s="112"/>
      <c r="H228" s="114"/>
    </row>
    <row r="229" spans="1:8">
      <c r="A229" s="134"/>
      <c r="B229" s="134"/>
      <c r="C229" s="134"/>
      <c r="D229" s="112"/>
      <c r="E229" s="112"/>
      <c r="F229" s="113"/>
      <c r="G229" s="112"/>
      <c r="H229" s="114"/>
    </row>
    <row r="230" spans="1:8">
      <c r="A230" s="134"/>
      <c r="B230" s="134"/>
      <c r="C230" s="134"/>
      <c r="D230" s="112"/>
      <c r="E230" s="112"/>
      <c r="F230" s="113"/>
      <c r="G230" s="112"/>
      <c r="H230" s="114"/>
    </row>
    <row r="231" spans="1:8">
      <c r="A231" s="134"/>
      <c r="B231" s="134"/>
      <c r="C231" s="134"/>
      <c r="D231" s="112"/>
      <c r="E231" s="112"/>
      <c r="F231" s="113"/>
      <c r="G231" s="112"/>
      <c r="H231" s="114"/>
    </row>
    <row r="232" spans="1:8">
      <c r="A232" s="134"/>
      <c r="B232" s="134"/>
      <c r="C232" s="134"/>
      <c r="D232" s="112"/>
      <c r="E232" s="112"/>
      <c r="F232" s="113"/>
      <c r="G232" s="112"/>
      <c r="H232" s="114"/>
    </row>
    <row r="233" spans="1:8">
      <c r="A233" s="134"/>
      <c r="B233" s="134"/>
      <c r="C233" s="134"/>
      <c r="D233" s="112"/>
      <c r="E233" s="112"/>
      <c r="F233" s="113"/>
      <c r="G233" s="112"/>
      <c r="H233" s="114"/>
    </row>
    <row r="234" spans="1:8">
      <c r="A234" s="134"/>
      <c r="B234" s="134"/>
      <c r="C234" s="134"/>
      <c r="D234" s="112"/>
      <c r="E234" s="112"/>
      <c r="F234" s="113"/>
      <c r="G234" s="112"/>
      <c r="H234" s="114"/>
    </row>
    <row r="235" spans="1:8">
      <c r="A235" s="134"/>
      <c r="B235" s="134"/>
      <c r="C235" s="134"/>
      <c r="D235" s="112"/>
      <c r="E235" s="112"/>
      <c r="F235" s="113"/>
      <c r="G235" s="112"/>
      <c r="H235" s="114"/>
    </row>
    <row r="236" spans="1:8">
      <c r="A236" s="134"/>
      <c r="B236" s="134"/>
      <c r="C236" s="134"/>
      <c r="D236" s="112"/>
      <c r="E236" s="112"/>
      <c r="F236" s="113"/>
      <c r="G236" s="112"/>
      <c r="H236" s="114"/>
    </row>
    <row r="237" spans="1:8">
      <c r="A237" s="134"/>
      <c r="B237" s="134"/>
      <c r="C237" s="134"/>
      <c r="D237" s="112"/>
      <c r="E237" s="112"/>
      <c r="F237" s="113"/>
      <c r="G237" s="112"/>
      <c r="H237" s="114"/>
    </row>
    <row r="238" spans="1:8">
      <c r="A238" s="134"/>
      <c r="B238" s="134"/>
      <c r="C238" s="134"/>
      <c r="D238" s="112"/>
      <c r="E238" s="112"/>
      <c r="F238" s="113"/>
      <c r="G238" s="112"/>
      <c r="H238" s="114"/>
    </row>
    <row r="239" spans="1:8">
      <c r="A239" s="134"/>
      <c r="B239" s="134"/>
      <c r="C239" s="134"/>
      <c r="D239" s="112"/>
      <c r="E239" s="112"/>
      <c r="F239" s="113"/>
      <c r="G239" s="112"/>
      <c r="H239" s="114"/>
    </row>
    <row r="240" spans="1:8">
      <c r="A240" s="134"/>
      <c r="B240" s="134"/>
      <c r="C240" s="134"/>
      <c r="D240" s="112"/>
      <c r="E240" s="112"/>
      <c r="F240" s="113"/>
      <c r="G240" s="112"/>
      <c r="H240" s="114"/>
    </row>
    <row r="241" spans="1:8">
      <c r="A241" s="134"/>
      <c r="B241" s="134"/>
      <c r="C241" s="134"/>
      <c r="D241" s="112"/>
      <c r="E241" s="112"/>
      <c r="F241" s="113"/>
      <c r="G241" s="112"/>
      <c r="H241" s="114"/>
    </row>
    <row r="242" spans="1:8">
      <c r="A242" s="134"/>
      <c r="B242" s="134"/>
      <c r="C242" s="134"/>
      <c r="D242" s="112"/>
      <c r="E242" s="112"/>
      <c r="F242" s="113"/>
      <c r="G242" s="112"/>
      <c r="H242" s="114"/>
    </row>
    <row r="243" spans="1:8">
      <c r="A243" s="134"/>
      <c r="B243" s="134"/>
      <c r="C243" s="134"/>
      <c r="D243" s="112"/>
      <c r="E243" s="112"/>
      <c r="F243" s="113"/>
      <c r="G243" s="112"/>
      <c r="H243" s="114"/>
    </row>
    <row r="244" spans="1:8">
      <c r="A244" s="134"/>
      <c r="B244" s="134"/>
      <c r="C244" s="134"/>
      <c r="D244" s="112"/>
      <c r="E244" s="112"/>
      <c r="F244" s="113"/>
      <c r="G244" s="112"/>
      <c r="H244" s="114"/>
    </row>
    <row r="245" spans="1:8">
      <c r="A245" s="134"/>
      <c r="B245" s="134"/>
      <c r="C245" s="134"/>
      <c r="D245" s="112"/>
      <c r="E245" s="112"/>
      <c r="F245" s="113"/>
      <c r="G245" s="112"/>
      <c r="H245" s="114"/>
    </row>
    <row r="246" spans="1:8">
      <c r="A246" s="134"/>
      <c r="B246" s="134"/>
      <c r="C246" s="134"/>
      <c r="D246" s="112"/>
      <c r="E246" s="112"/>
      <c r="F246" s="113"/>
      <c r="G246" s="112"/>
      <c r="H246" s="114"/>
    </row>
    <row r="247" spans="1:8">
      <c r="A247" s="134"/>
      <c r="B247" s="134"/>
      <c r="C247" s="134"/>
      <c r="D247" s="112"/>
      <c r="E247" s="112"/>
      <c r="F247" s="113"/>
      <c r="G247" s="112"/>
      <c r="H247" s="114"/>
    </row>
    <row r="248" spans="1:8">
      <c r="A248" s="134"/>
      <c r="B248" s="134"/>
      <c r="C248" s="134"/>
      <c r="D248" s="112"/>
      <c r="E248" s="112"/>
      <c r="F248" s="113"/>
      <c r="G248" s="112"/>
      <c r="H248" s="114"/>
    </row>
    <row r="249" spans="1:8">
      <c r="A249" s="134"/>
      <c r="B249" s="134"/>
      <c r="C249" s="134"/>
      <c r="D249" s="112"/>
      <c r="E249" s="112"/>
      <c r="F249" s="113"/>
      <c r="G249" s="112"/>
      <c r="H249" s="114"/>
    </row>
    <row r="250" spans="1:8">
      <c r="A250" s="134"/>
      <c r="B250" s="134"/>
      <c r="C250" s="134"/>
      <c r="D250" s="112"/>
      <c r="E250" s="112"/>
      <c r="F250" s="113"/>
      <c r="G250" s="112"/>
      <c r="H250" s="114"/>
    </row>
    <row r="251" spans="1:8">
      <c r="A251" s="134"/>
      <c r="B251" s="134"/>
      <c r="C251" s="134"/>
      <c r="D251" s="112"/>
      <c r="E251" s="112"/>
      <c r="F251" s="113"/>
      <c r="G251" s="112"/>
      <c r="H251" s="114"/>
    </row>
    <row r="252" spans="1:8">
      <c r="A252" s="134"/>
      <c r="B252" s="134"/>
      <c r="C252" s="134"/>
      <c r="D252" s="112"/>
      <c r="E252" s="112"/>
      <c r="F252" s="113"/>
      <c r="G252" s="112"/>
      <c r="H252" s="114"/>
    </row>
    <row r="253" spans="1:8">
      <c r="A253" s="134"/>
      <c r="B253" s="134"/>
      <c r="C253" s="134"/>
      <c r="D253" s="112"/>
      <c r="E253" s="112"/>
      <c r="F253" s="113"/>
      <c r="G253" s="112"/>
      <c r="H253" s="114"/>
    </row>
    <row r="254" spans="1:8">
      <c r="A254" s="134"/>
      <c r="B254" s="134"/>
      <c r="C254" s="134"/>
      <c r="D254" s="112"/>
      <c r="E254" s="112"/>
      <c r="F254" s="113"/>
      <c r="G254" s="112"/>
      <c r="H254" s="114"/>
    </row>
    <row r="255" spans="1:8">
      <c r="A255" s="134"/>
      <c r="B255" s="134"/>
      <c r="C255" s="134"/>
      <c r="D255" s="112"/>
      <c r="E255" s="112"/>
      <c r="F255" s="113"/>
      <c r="G255" s="112"/>
      <c r="H255" s="114"/>
    </row>
    <row r="256" spans="1:8">
      <c r="A256" s="134"/>
      <c r="B256" s="134"/>
      <c r="C256" s="134"/>
      <c r="D256" s="112"/>
      <c r="E256" s="112"/>
      <c r="F256" s="113"/>
      <c r="G256" s="112"/>
      <c r="H256" s="114"/>
    </row>
    <row r="257" spans="1:8">
      <c r="A257" s="134"/>
      <c r="B257" s="134"/>
      <c r="C257" s="134"/>
      <c r="D257" s="112"/>
      <c r="E257" s="112"/>
      <c r="F257" s="113"/>
      <c r="G257" s="112"/>
      <c r="H257" s="114"/>
    </row>
    <row r="258" spans="1:8">
      <c r="A258" s="134"/>
      <c r="B258" s="134"/>
      <c r="C258" s="134"/>
      <c r="D258" s="112"/>
      <c r="E258" s="112"/>
      <c r="F258" s="113"/>
      <c r="G258" s="112"/>
      <c r="H258" s="114"/>
    </row>
    <row r="259" spans="1:8">
      <c r="A259" s="134"/>
      <c r="B259" s="134"/>
      <c r="C259" s="134"/>
      <c r="D259" s="112"/>
      <c r="E259" s="112"/>
      <c r="F259" s="113"/>
      <c r="G259" s="112"/>
      <c r="H259" s="114"/>
    </row>
    <row r="260" spans="1:8">
      <c r="A260" s="134"/>
      <c r="B260" s="134"/>
      <c r="C260" s="134"/>
      <c r="D260" s="112"/>
      <c r="E260" s="112"/>
      <c r="F260" s="113"/>
      <c r="G260" s="112"/>
      <c r="H260" s="114"/>
    </row>
    <row r="261" spans="1:8">
      <c r="A261" s="134"/>
      <c r="B261" s="134"/>
      <c r="C261" s="134"/>
      <c r="D261" s="112"/>
      <c r="E261" s="112"/>
      <c r="F261" s="113"/>
      <c r="G261" s="112"/>
      <c r="H261" s="114"/>
    </row>
    <row r="262" spans="1:8">
      <c r="A262" s="134"/>
      <c r="B262" s="134"/>
      <c r="C262" s="134"/>
      <c r="D262" s="112"/>
      <c r="E262" s="112"/>
      <c r="F262" s="113"/>
      <c r="G262" s="112"/>
      <c r="H262" s="114"/>
    </row>
    <row r="263" spans="1:8">
      <c r="A263" s="134"/>
      <c r="B263" s="134"/>
      <c r="C263" s="134"/>
      <c r="D263" s="112"/>
      <c r="E263" s="112"/>
      <c r="F263" s="113"/>
      <c r="G263" s="112"/>
      <c r="H263" s="114"/>
    </row>
    <row r="264" spans="1:8">
      <c r="A264" s="134"/>
      <c r="B264" s="134"/>
      <c r="C264" s="134"/>
      <c r="D264" s="112"/>
      <c r="E264" s="112"/>
      <c r="F264" s="113"/>
      <c r="G264" s="112"/>
      <c r="H264" s="114"/>
    </row>
    <row r="265" spans="1:8">
      <c r="A265" s="134"/>
      <c r="B265" s="134"/>
      <c r="C265" s="134"/>
      <c r="D265" s="112"/>
      <c r="E265" s="112"/>
      <c r="F265" s="113"/>
      <c r="G265" s="112"/>
      <c r="H265" s="114"/>
    </row>
    <row r="266" spans="1:8">
      <c r="A266" s="134"/>
      <c r="B266" s="134"/>
      <c r="C266" s="134"/>
      <c r="D266" s="112"/>
      <c r="E266" s="112"/>
      <c r="F266" s="113"/>
      <c r="G266" s="112"/>
      <c r="H266" s="114"/>
    </row>
    <row r="267" spans="1:8">
      <c r="A267" s="134"/>
      <c r="B267" s="134"/>
      <c r="C267" s="134"/>
      <c r="D267" s="112"/>
      <c r="E267" s="112"/>
      <c r="F267" s="113"/>
      <c r="G267" s="112"/>
      <c r="H267" s="114"/>
    </row>
    <row r="268" spans="1:8">
      <c r="A268" s="134"/>
      <c r="B268" s="134"/>
      <c r="C268" s="134"/>
      <c r="D268" s="112"/>
      <c r="E268" s="112"/>
      <c r="F268" s="113"/>
      <c r="G268" s="112"/>
      <c r="H268" s="114"/>
    </row>
    <row r="269" spans="1:8">
      <c r="A269" s="134"/>
      <c r="B269" s="134"/>
      <c r="C269" s="134"/>
      <c r="D269" s="112"/>
      <c r="E269" s="112"/>
      <c r="F269" s="113"/>
      <c r="G269" s="112"/>
      <c r="H269" s="114"/>
    </row>
    <row r="270" spans="1:8">
      <c r="A270" s="134"/>
      <c r="B270" s="134"/>
      <c r="C270" s="134"/>
      <c r="D270" s="112"/>
      <c r="E270" s="112"/>
      <c r="F270" s="113"/>
      <c r="G270" s="112"/>
      <c r="H270" s="114"/>
    </row>
    <row r="271" spans="1:8">
      <c r="A271" s="134"/>
      <c r="B271" s="134"/>
      <c r="C271" s="134"/>
      <c r="D271" s="112"/>
      <c r="E271" s="112"/>
      <c r="F271" s="113"/>
      <c r="G271" s="112"/>
      <c r="H271" s="114"/>
    </row>
    <row r="272" spans="1:8">
      <c r="A272" s="134"/>
      <c r="B272" s="134"/>
      <c r="C272" s="134"/>
      <c r="D272" s="112"/>
      <c r="E272" s="112"/>
      <c r="F272" s="113"/>
      <c r="G272" s="112"/>
      <c r="H272" s="114"/>
    </row>
    <row r="273" spans="1:8">
      <c r="A273" s="134"/>
      <c r="B273" s="134"/>
      <c r="C273" s="134"/>
      <c r="D273" s="112"/>
      <c r="E273" s="112"/>
      <c r="F273" s="113"/>
      <c r="G273" s="112"/>
      <c r="H273" s="114"/>
    </row>
    <row r="274" spans="1:8">
      <c r="A274" s="134"/>
      <c r="B274" s="134"/>
      <c r="C274" s="134"/>
      <c r="D274" s="112"/>
      <c r="E274" s="112"/>
      <c r="F274" s="113"/>
      <c r="G274" s="112"/>
      <c r="H274" s="114"/>
    </row>
    <row r="275" spans="1:8">
      <c r="A275" s="134"/>
      <c r="B275" s="134"/>
      <c r="C275" s="134"/>
      <c r="D275" s="112"/>
      <c r="E275" s="112"/>
      <c r="F275" s="113"/>
      <c r="G275" s="112"/>
      <c r="H275" s="114"/>
    </row>
    <row r="276" spans="1:8">
      <c r="A276" s="134"/>
      <c r="B276" s="134"/>
      <c r="C276" s="134"/>
      <c r="D276" s="112"/>
      <c r="E276" s="112"/>
      <c r="F276" s="113"/>
      <c r="G276" s="112"/>
      <c r="H276" s="114"/>
    </row>
    <row r="277" spans="1:8">
      <c r="A277" s="134"/>
      <c r="B277" s="134"/>
      <c r="C277" s="134"/>
      <c r="D277" s="112"/>
      <c r="E277" s="112"/>
      <c r="F277" s="113"/>
      <c r="G277" s="112"/>
      <c r="H277" s="114"/>
    </row>
    <row r="278" spans="1:8">
      <c r="A278" s="134"/>
      <c r="B278" s="134"/>
      <c r="C278" s="134"/>
      <c r="D278" s="112"/>
      <c r="E278" s="112"/>
      <c r="F278" s="113"/>
      <c r="G278" s="112"/>
      <c r="H278" s="114"/>
    </row>
    <row r="279" spans="1:8">
      <c r="A279" s="134"/>
      <c r="B279" s="134"/>
      <c r="C279" s="134"/>
      <c r="D279" s="112"/>
      <c r="E279" s="112"/>
      <c r="F279" s="113"/>
      <c r="G279" s="112"/>
      <c r="H279" s="114"/>
    </row>
    <row r="280" spans="1:8">
      <c r="A280" s="134"/>
      <c r="B280" s="134"/>
      <c r="C280" s="134"/>
      <c r="D280" s="112"/>
      <c r="E280" s="112"/>
      <c r="F280" s="113"/>
      <c r="G280" s="112"/>
      <c r="H280" s="114"/>
    </row>
    <row r="281" spans="1:8">
      <c r="A281" s="134"/>
      <c r="B281" s="134"/>
      <c r="C281" s="134"/>
      <c r="D281" s="112"/>
      <c r="E281" s="112"/>
      <c r="F281" s="113"/>
      <c r="G281" s="112"/>
      <c r="H281" s="114"/>
    </row>
    <row r="282" spans="1:8">
      <c r="A282" s="134"/>
      <c r="B282" s="134"/>
      <c r="C282" s="134"/>
      <c r="D282" s="112"/>
      <c r="E282" s="112"/>
      <c r="F282" s="113"/>
      <c r="G282" s="112"/>
      <c r="H282" s="114"/>
    </row>
    <row r="283" spans="1:8">
      <c r="A283" s="134"/>
      <c r="B283" s="134"/>
      <c r="C283" s="134"/>
      <c r="D283" s="112"/>
      <c r="E283" s="112"/>
      <c r="F283" s="113"/>
      <c r="G283" s="112"/>
      <c r="H283" s="114"/>
    </row>
    <row r="284" spans="1:8">
      <c r="A284" s="134"/>
      <c r="B284" s="134"/>
      <c r="C284" s="134"/>
      <c r="D284" s="112"/>
      <c r="E284" s="112"/>
      <c r="F284" s="113"/>
      <c r="G284" s="112"/>
      <c r="H284" s="114"/>
    </row>
    <row r="285" spans="1:8">
      <c r="A285" s="134"/>
      <c r="B285" s="134"/>
      <c r="C285" s="134"/>
      <c r="D285" s="112"/>
      <c r="E285" s="112"/>
      <c r="F285" s="113"/>
      <c r="G285" s="112"/>
      <c r="H285" s="114"/>
    </row>
    <row r="286" spans="1:8">
      <c r="A286" s="134"/>
      <c r="B286" s="134"/>
      <c r="C286" s="134"/>
      <c r="D286" s="112"/>
      <c r="E286" s="112"/>
      <c r="F286" s="113"/>
      <c r="G286" s="112"/>
      <c r="H286" s="114"/>
    </row>
    <row r="287" spans="1:8">
      <c r="A287" s="134"/>
      <c r="B287" s="134"/>
      <c r="C287" s="134"/>
      <c r="D287" s="112"/>
      <c r="E287" s="112"/>
      <c r="F287" s="113"/>
      <c r="G287" s="112"/>
      <c r="H287" s="114"/>
    </row>
    <row r="288" spans="1:8">
      <c r="A288" s="134"/>
      <c r="B288" s="134"/>
      <c r="C288" s="134"/>
      <c r="D288" s="112"/>
      <c r="E288" s="112"/>
      <c r="F288" s="113"/>
      <c r="G288" s="112"/>
      <c r="H288" s="114"/>
    </row>
    <row r="289" spans="1:8">
      <c r="A289" s="134"/>
      <c r="B289" s="134"/>
      <c r="C289" s="134"/>
      <c r="D289" s="112"/>
      <c r="E289" s="112"/>
      <c r="F289" s="113"/>
      <c r="G289" s="112"/>
      <c r="H289" s="114"/>
    </row>
    <row r="290" spans="1:8">
      <c r="A290" s="134"/>
      <c r="B290" s="134"/>
      <c r="C290" s="134"/>
      <c r="D290" s="112"/>
      <c r="E290" s="112"/>
      <c r="F290" s="113"/>
      <c r="G290" s="112"/>
      <c r="H290" s="114"/>
    </row>
    <row r="291" spans="1:8">
      <c r="A291" s="134"/>
      <c r="B291" s="134"/>
      <c r="C291" s="134"/>
      <c r="D291" s="112"/>
      <c r="E291" s="112"/>
      <c r="F291" s="113"/>
      <c r="G291" s="112"/>
      <c r="H291" s="114"/>
    </row>
    <row r="292" spans="1:8">
      <c r="A292" s="134"/>
      <c r="B292" s="134"/>
      <c r="C292" s="134"/>
      <c r="D292" s="112"/>
      <c r="E292" s="112"/>
      <c r="F292" s="113"/>
      <c r="G292" s="112"/>
      <c r="H292" s="114"/>
    </row>
    <row r="293" spans="1:8">
      <c r="A293" s="134"/>
      <c r="B293" s="134"/>
      <c r="C293" s="134"/>
      <c r="D293" s="112"/>
      <c r="E293" s="112"/>
      <c r="F293" s="113"/>
      <c r="G293" s="112"/>
      <c r="H293" s="114"/>
    </row>
    <row r="294" spans="1:8">
      <c r="A294" s="134"/>
      <c r="B294" s="134"/>
      <c r="C294" s="134"/>
      <c r="D294" s="112"/>
      <c r="E294" s="112"/>
      <c r="F294" s="113"/>
      <c r="G294" s="112"/>
      <c r="H294" s="114"/>
    </row>
    <row r="295" spans="1:8">
      <c r="A295" s="134"/>
      <c r="B295" s="134"/>
      <c r="C295" s="134"/>
      <c r="D295" s="112"/>
      <c r="E295" s="112"/>
      <c r="F295" s="113"/>
      <c r="G295" s="112"/>
      <c r="H295" s="114"/>
    </row>
    <row r="296" spans="1:8">
      <c r="A296" s="134"/>
      <c r="B296" s="134"/>
      <c r="C296" s="134"/>
      <c r="D296" s="112"/>
      <c r="E296" s="112"/>
      <c r="F296" s="113"/>
      <c r="G296" s="112"/>
      <c r="H296" s="114"/>
    </row>
    <row r="297" spans="1:8">
      <c r="A297" s="134"/>
      <c r="B297" s="134"/>
      <c r="C297" s="134"/>
      <c r="D297" s="112"/>
      <c r="E297" s="112"/>
      <c r="F297" s="113"/>
      <c r="G297" s="112"/>
      <c r="H297" s="114"/>
    </row>
    <row r="298" spans="1:8">
      <c r="A298" s="134"/>
      <c r="B298" s="134"/>
      <c r="C298" s="134"/>
      <c r="D298" s="112"/>
      <c r="E298" s="112"/>
      <c r="F298" s="113"/>
      <c r="G298" s="112"/>
      <c r="H298" s="114"/>
    </row>
    <row r="299" spans="1:8">
      <c r="A299" s="134"/>
      <c r="B299" s="134"/>
      <c r="C299" s="134"/>
      <c r="D299" s="112"/>
      <c r="E299" s="112"/>
      <c r="F299" s="113"/>
      <c r="G299" s="112"/>
      <c r="H299" s="114"/>
    </row>
    <row r="300" spans="1:8">
      <c r="A300" s="134"/>
      <c r="B300" s="134"/>
      <c r="C300" s="134"/>
      <c r="D300" s="112"/>
      <c r="E300" s="112"/>
      <c r="F300" s="113"/>
      <c r="G300" s="112"/>
      <c r="H300" s="114"/>
    </row>
    <row r="301" spans="1:8">
      <c r="A301" s="134"/>
      <c r="B301" s="134"/>
      <c r="C301" s="134"/>
      <c r="D301" s="112"/>
      <c r="E301" s="112"/>
      <c r="F301" s="113"/>
      <c r="G301" s="112"/>
      <c r="H301" s="114"/>
    </row>
    <row r="302" spans="1:8">
      <c r="A302" s="134"/>
      <c r="B302" s="134"/>
      <c r="C302" s="134"/>
      <c r="D302" s="112"/>
      <c r="E302" s="112"/>
      <c r="F302" s="113"/>
      <c r="G302" s="112"/>
      <c r="H302" s="114"/>
    </row>
    <row r="303" spans="1:8">
      <c r="A303" s="134"/>
      <c r="B303" s="134"/>
      <c r="C303" s="134"/>
      <c r="D303" s="112"/>
      <c r="E303" s="112"/>
      <c r="F303" s="113"/>
      <c r="G303" s="112"/>
      <c r="H303" s="114"/>
    </row>
    <row r="304" spans="1:8">
      <c r="A304" s="134"/>
      <c r="B304" s="134"/>
      <c r="C304" s="134"/>
      <c r="D304" s="112"/>
      <c r="E304" s="112"/>
      <c r="F304" s="113"/>
      <c r="G304" s="112"/>
      <c r="H304" s="114"/>
    </row>
    <row r="305" spans="1:8">
      <c r="A305" s="134"/>
      <c r="B305" s="134"/>
      <c r="C305" s="134"/>
      <c r="D305" s="112"/>
      <c r="E305" s="112"/>
      <c r="F305" s="113"/>
      <c r="G305" s="112"/>
      <c r="H305" s="114"/>
    </row>
    <row r="306" spans="1:8">
      <c r="A306" s="134"/>
      <c r="B306" s="134"/>
      <c r="C306" s="134"/>
      <c r="D306" s="112"/>
      <c r="E306" s="112"/>
      <c r="F306" s="113"/>
      <c r="G306" s="112"/>
      <c r="H306" s="114"/>
    </row>
    <row r="307" spans="1:8">
      <c r="A307" s="134"/>
      <c r="B307" s="134"/>
      <c r="C307" s="134"/>
      <c r="D307" s="112"/>
      <c r="E307" s="112"/>
      <c r="F307" s="113"/>
      <c r="G307" s="112"/>
      <c r="H307" s="114"/>
    </row>
    <row r="308" spans="1:8">
      <c r="A308" s="134"/>
      <c r="B308" s="134"/>
      <c r="C308" s="134"/>
      <c r="D308" s="112"/>
      <c r="E308" s="112"/>
      <c r="F308" s="113"/>
      <c r="G308" s="112"/>
      <c r="H308" s="114"/>
    </row>
    <row r="309" spans="1:8">
      <c r="A309" s="134"/>
      <c r="B309" s="134"/>
      <c r="C309" s="134"/>
      <c r="D309" s="112"/>
      <c r="E309" s="112"/>
      <c r="F309" s="113"/>
      <c r="G309" s="112"/>
      <c r="H309" s="114"/>
    </row>
    <row r="310" spans="1:8">
      <c r="A310" s="134"/>
      <c r="B310" s="134"/>
      <c r="C310" s="134"/>
      <c r="D310" s="112"/>
      <c r="E310" s="112"/>
      <c r="F310" s="113"/>
      <c r="G310" s="112"/>
      <c r="H310" s="114"/>
    </row>
    <row r="311" spans="1:8">
      <c r="A311" s="134"/>
      <c r="B311" s="134"/>
      <c r="C311" s="134"/>
      <c r="D311" s="112"/>
      <c r="E311" s="112"/>
      <c r="F311" s="113"/>
      <c r="G311" s="112"/>
      <c r="H311" s="114"/>
    </row>
    <row r="312" spans="1:8">
      <c r="A312" s="134"/>
      <c r="B312" s="134"/>
      <c r="C312" s="134"/>
      <c r="D312" s="112"/>
      <c r="E312" s="112"/>
      <c r="F312" s="113"/>
      <c r="G312" s="112"/>
      <c r="H312" s="114"/>
    </row>
    <row r="313" spans="1:8">
      <c r="A313" s="134"/>
      <c r="B313" s="134"/>
      <c r="C313" s="134"/>
      <c r="D313" s="112"/>
      <c r="E313" s="112"/>
      <c r="F313" s="113"/>
      <c r="G313" s="112"/>
      <c r="H313" s="114"/>
    </row>
    <row r="314" spans="1:8">
      <c r="A314" s="134"/>
      <c r="B314" s="134"/>
      <c r="C314" s="134"/>
      <c r="D314" s="112"/>
      <c r="E314" s="112"/>
      <c r="F314" s="113"/>
      <c r="G314" s="112"/>
      <c r="H314" s="114"/>
    </row>
    <row r="315" spans="1:8">
      <c r="A315" s="134"/>
      <c r="B315" s="134"/>
      <c r="C315" s="134"/>
      <c r="D315" s="112"/>
      <c r="E315" s="112"/>
      <c r="F315" s="113"/>
      <c r="G315" s="112"/>
      <c r="H315" s="114"/>
    </row>
    <row r="316" spans="1:8">
      <c r="A316" s="134"/>
      <c r="B316" s="134"/>
      <c r="C316" s="134"/>
      <c r="D316" s="112"/>
      <c r="E316" s="112"/>
      <c r="F316" s="113"/>
      <c r="G316" s="112"/>
      <c r="H316" s="114"/>
    </row>
    <row r="317" spans="1:8">
      <c r="A317" s="134"/>
      <c r="B317" s="134"/>
      <c r="C317" s="134"/>
      <c r="D317" s="112"/>
      <c r="E317" s="112"/>
      <c r="F317" s="113"/>
      <c r="G317" s="112"/>
      <c r="H317" s="114"/>
    </row>
    <row r="318" spans="1:8">
      <c r="A318" s="134"/>
      <c r="B318" s="134"/>
      <c r="C318" s="134"/>
      <c r="D318" s="112"/>
      <c r="E318" s="112"/>
      <c r="F318" s="113"/>
      <c r="G318" s="112"/>
      <c r="H318" s="114"/>
    </row>
    <row r="319" spans="1:8">
      <c r="A319" s="134"/>
      <c r="B319" s="134"/>
      <c r="C319" s="134"/>
      <c r="D319" s="112"/>
      <c r="E319" s="112"/>
      <c r="F319" s="113"/>
      <c r="G319" s="112"/>
      <c r="H319" s="114"/>
    </row>
    <row r="320" spans="1:8">
      <c r="A320" s="134"/>
      <c r="B320" s="134"/>
      <c r="C320" s="134"/>
      <c r="D320" s="112"/>
      <c r="E320" s="112"/>
      <c r="F320" s="113"/>
      <c r="G320" s="112"/>
      <c r="H320" s="114"/>
    </row>
    <row r="321" spans="1:8">
      <c r="A321" s="134"/>
      <c r="B321" s="134"/>
      <c r="C321" s="134"/>
      <c r="D321" s="112"/>
      <c r="E321" s="112"/>
      <c r="F321" s="113"/>
      <c r="G321" s="112"/>
      <c r="H321" s="114"/>
    </row>
    <row r="322" spans="1:8">
      <c r="A322" s="134"/>
      <c r="B322" s="134"/>
      <c r="C322" s="134"/>
      <c r="D322" s="112"/>
      <c r="E322" s="112"/>
      <c r="F322" s="113"/>
      <c r="G322" s="112"/>
      <c r="H322" s="114"/>
    </row>
    <row r="323" spans="1:8">
      <c r="A323" s="134"/>
      <c r="B323" s="134"/>
      <c r="C323" s="134"/>
      <c r="D323" s="112"/>
      <c r="E323" s="112"/>
      <c r="F323" s="113"/>
      <c r="G323" s="112"/>
      <c r="H323" s="114"/>
    </row>
    <row r="324" spans="1:8">
      <c r="A324" s="134"/>
      <c r="B324" s="134"/>
      <c r="C324" s="134"/>
      <c r="D324" s="112"/>
      <c r="E324" s="112"/>
      <c r="F324" s="113"/>
      <c r="G324" s="112"/>
      <c r="H324" s="114"/>
    </row>
    <row r="325" spans="1:8">
      <c r="A325" s="134"/>
      <c r="B325" s="134"/>
      <c r="C325" s="134"/>
      <c r="D325" s="112"/>
      <c r="E325" s="112"/>
      <c r="F325" s="113"/>
      <c r="G325" s="112"/>
      <c r="H325" s="114"/>
    </row>
    <row r="326" spans="1:8">
      <c r="A326" s="134"/>
      <c r="B326" s="134"/>
      <c r="C326" s="134"/>
      <c r="D326" s="112"/>
      <c r="E326" s="112"/>
      <c r="F326" s="113"/>
      <c r="G326" s="112"/>
      <c r="H326" s="114"/>
    </row>
    <row r="327" spans="1:8">
      <c r="A327" s="134"/>
      <c r="B327" s="134"/>
      <c r="C327" s="134"/>
      <c r="D327" s="112"/>
      <c r="E327" s="112"/>
      <c r="F327" s="113"/>
      <c r="G327" s="112"/>
      <c r="H327" s="114"/>
    </row>
    <row r="328" spans="1:8">
      <c r="A328" s="134"/>
      <c r="B328" s="134"/>
      <c r="C328" s="134"/>
      <c r="D328" s="112"/>
      <c r="E328" s="112"/>
      <c r="F328" s="113"/>
      <c r="G328" s="112"/>
      <c r="H328" s="114"/>
    </row>
    <row r="329" spans="1:8">
      <c r="A329" s="134"/>
      <c r="B329" s="134"/>
      <c r="C329" s="134"/>
      <c r="D329" s="112"/>
      <c r="E329" s="112"/>
      <c r="F329" s="113"/>
      <c r="G329" s="112"/>
      <c r="H329" s="114"/>
    </row>
    <row r="330" spans="1:8">
      <c r="A330" s="134"/>
      <c r="B330" s="134"/>
      <c r="C330" s="134"/>
      <c r="D330" s="112"/>
      <c r="E330" s="112"/>
      <c r="F330" s="113"/>
      <c r="G330" s="112"/>
      <c r="H330" s="114"/>
    </row>
    <row r="331" spans="1:8">
      <c r="A331" s="134"/>
      <c r="B331" s="134"/>
      <c r="C331" s="134"/>
      <c r="D331" s="112"/>
      <c r="E331" s="112"/>
      <c r="F331" s="113"/>
      <c r="G331" s="112"/>
      <c r="H331" s="114"/>
    </row>
    <row r="332" spans="1:8">
      <c r="A332" s="134"/>
      <c r="B332" s="134"/>
      <c r="C332" s="134"/>
      <c r="D332" s="112"/>
      <c r="E332" s="112"/>
      <c r="F332" s="113"/>
      <c r="G332" s="112"/>
      <c r="H332" s="114"/>
    </row>
    <row r="333" spans="1:8">
      <c r="A333" s="134"/>
      <c r="B333" s="134"/>
      <c r="C333" s="134"/>
      <c r="D333" s="112"/>
      <c r="E333" s="112"/>
      <c r="F333" s="113"/>
      <c r="G333" s="112"/>
      <c r="H333" s="114"/>
    </row>
    <row r="334" spans="1:8">
      <c r="A334" s="134"/>
      <c r="B334" s="134"/>
      <c r="C334" s="134"/>
      <c r="D334" s="112"/>
      <c r="E334" s="112"/>
      <c r="F334" s="113"/>
      <c r="G334" s="112"/>
      <c r="H334" s="114"/>
    </row>
    <row r="335" spans="1:8">
      <c r="A335" s="134"/>
      <c r="B335" s="134"/>
      <c r="C335" s="134"/>
      <c r="D335" s="112"/>
      <c r="E335" s="112"/>
      <c r="F335" s="113"/>
      <c r="G335" s="112"/>
      <c r="H335" s="114"/>
    </row>
    <row r="336" spans="1:8">
      <c r="A336" s="134"/>
      <c r="B336" s="134"/>
      <c r="C336" s="134"/>
      <c r="D336" s="112"/>
      <c r="E336" s="112"/>
      <c r="F336" s="113"/>
      <c r="G336" s="112"/>
      <c r="H336" s="114"/>
    </row>
    <row r="337" spans="1:8">
      <c r="A337" s="134"/>
      <c r="B337" s="134"/>
      <c r="C337" s="134"/>
      <c r="D337" s="112"/>
      <c r="E337" s="112"/>
      <c r="F337" s="113"/>
      <c r="G337" s="112"/>
      <c r="H337" s="114"/>
    </row>
    <row r="338" spans="1:8">
      <c r="A338" s="134"/>
      <c r="B338" s="134"/>
      <c r="C338" s="134"/>
      <c r="D338" s="112"/>
      <c r="E338" s="112"/>
      <c r="F338" s="113"/>
      <c r="G338" s="112"/>
      <c r="H338" s="114"/>
    </row>
    <row r="339" spans="1:8">
      <c r="A339" s="134"/>
      <c r="B339" s="134"/>
      <c r="C339" s="134"/>
      <c r="D339" s="112"/>
      <c r="E339" s="112"/>
      <c r="F339" s="113"/>
      <c r="G339" s="112"/>
      <c r="H339" s="114"/>
    </row>
    <row r="340" spans="1:8">
      <c r="A340" s="134"/>
      <c r="B340" s="134"/>
      <c r="C340" s="134"/>
      <c r="D340" s="112"/>
      <c r="E340" s="112"/>
      <c r="F340" s="113"/>
      <c r="G340" s="112"/>
      <c r="H340" s="114"/>
    </row>
    <row r="341" spans="1:8">
      <c r="A341" s="134"/>
      <c r="B341" s="134"/>
      <c r="C341" s="134"/>
      <c r="D341" s="112"/>
      <c r="E341" s="112"/>
      <c r="F341" s="113"/>
      <c r="G341" s="112"/>
      <c r="H341" s="114"/>
    </row>
    <row r="342" spans="1:8">
      <c r="A342" s="134"/>
      <c r="B342" s="134"/>
      <c r="C342" s="134"/>
      <c r="D342" s="112"/>
      <c r="E342" s="112"/>
      <c r="F342" s="113"/>
      <c r="G342" s="112"/>
      <c r="H342" s="114"/>
    </row>
    <row r="343" spans="1:8">
      <c r="A343" s="134"/>
      <c r="B343" s="134"/>
      <c r="C343" s="134"/>
      <c r="D343" s="112"/>
      <c r="E343" s="112"/>
      <c r="F343" s="113"/>
      <c r="G343" s="112"/>
      <c r="H343" s="114"/>
    </row>
    <row r="344" spans="1:8">
      <c r="A344" s="134"/>
      <c r="B344" s="134"/>
      <c r="C344" s="134"/>
      <c r="D344" s="112"/>
      <c r="E344" s="112"/>
      <c r="F344" s="113"/>
      <c r="G344" s="112"/>
      <c r="H344" s="114"/>
    </row>
    <row r="345" spans="1:8">
      <c r="A345" s="134"/>
      <c r="B345" s="134"/>
      <c r="C345" s="134"/>
      <c r="D345" s="112"/>
      <c r="E345" s="112"/>
      <c r="F345" s="113"/>
      <c r="G345" s="112"/>
      <c r="H345" s="114"/>
    </row>
    <row r="346" spans="1:8">
      <c r="A346" s="134"/>
      <c r="B346" s="134"/>
      <c r="C346" s="134"/>
      <c r="D346" s="112"/>
      <c r="E346" s="112"/>
      <c r="F346" s="113"/>
      <c r="G346" s="112"/>
      <c r="H346" s="114"/>
    </row>
    <row r="347" spans="1:8">
      <c r="A347" s="134"/>
      <c r="B347" s="134"/>
      <c r="C347" s="134"/>
      <c r="D347" s="112"/>
      <c r="E347" s="112"/>
      <c r="F347" s="113"/>
      <c r="G347" s="112"/>
      <c r="H347" s="114"/>
    </row>
    <row r="348" spans="1:8">
      <c r="A348" s="134"/>
      <c r="B348" s="134"/>
      <c r="C348" s="134"/>
      <c r="D348" s="112"/>
      <c r="E348" s="112"/>
      <c r="F348" s="113"/>
      <c r="G348" s="112"/>
      <c r="H348" s="114"/>
    </row>
    <row r="349" spans="1:8">
      <c r="A349" s="134"/>
      <c r="B349" s="134"/>
      <c r="C349" s="134"/>
      <c r="D349" s="112"/>
      <c r="E349" s="112"/>
      <c r="F349" s="113"/>
      <c r="G349" s="112"/>
      <c r="H349" s="114"/>
    </row>
    <row r="350" spans="1:8">
      <c r="A350" s="134"/>
      <c r="B350" s="134"/>
      <c r="C350" s="134"/>
      <c r="D350" s="112"/>
      <c r="E350" s="112"/>
      <c r="F350" s="113"/>
      <c r="G350" s="112"/>
      <c r="H350" s="114"/>
    </row>
    <row r="351" spans="1:8">
      <c r="A351" s="134"/>
      <c r="B351" s="134"/>
      <c r="C351" s="134"/>
      <c r="D351" s="112"/>
      <c r="E351" s="112"/>
      <c r="F351" s="113"/>
      <c r="G351" s="112"/>
      <c r="H351" s="114"/>
    </row>
    <row r="352" spans="1:8">
      <c r="A352" s="134"/>
      <c r="B352" s="134"/>
      <c r="C352" s="134"/>
      <c r="D352" s="112"/>
      <c r="E352" s="112"/>
      <c r="F352" s="113"/>
      <c r="G352" s="112"/>
      <c r="H352" s="114"/>
    </row>
    <row r="353" spans="1:8">
      <c r="A353" s="134"/>
      <c r="B353" s="134"/>
      <c r="C353" s="134"/>
      <c r="D353" s="112"/>
      <c r="E353" s="112"/>
      <c r="F353" s="113"/>
      <c r="G353" s="112"/>
      <c r="H353" s="114"/>
    </row>
    <row r="354" spans="1:8">
      <c r="A354" s="134"/>
      <c r="B354" s="134"/>
      <c r="C354" s="134"/>
      <c r="D354" s="112"/>
      <c r="E354" s="112"/>
      <c r="F354" s="113"/>
      <c r="G354" s="112"/>
      <c r="H354" s="114"/>
    </row>
    <row r="355" spans="1:8">
      <c r="A355" s="134"/>
      <c r="B355" s="134"/>
      <c r="C355" s="134"/>
      <c r="D355" s="112"/>
      <c r="E355" s="112"/>
      <c r="F355" s="113"/>
      <c r="G355" s="112"/>
      <c r="H355" s="114"/>
    </row>
    <row r="356" spans="1:8">
      <c r="A356" s="134"/>
      <c r="B356" s="134"/>
      <c r="C356" s="134"/>
      <c r="D356" s="112"/>
      <c r="E356" s="112"/>
      <c r="F356" s="113"/>
      <c r="G356" s="112"/>
      <c r="H356" s="114"/>
    </row>
    <row r="357" spans="1:8">
      <c r="A357" s="134"/>
      <c r="B357" s="134"/>
      <c r="C357" s="134"/>
      <c r="D357" s="112"/>
      <c r="E357" s="112"/>
      <c r="F357" s="113"/>
      <c r="G357" s="112"/>
      <c r="H357" s="114"/>
    </row>
    <row r="358" spans="1:8">
      <c r="A358" s="134"/>
      <c r="B358" s="134"/>
      <c r="C358" s="134"/>
      <c r="D358" s="112"/>
      <c r="E358" s="112"/>
      <c r="F358" s="113"/>
      <c r="G358" s="112"/>
      <c r="H358" s="114"/>
    </row>
    <row r="359" spans="1:8">
      <c r="A359" s="134"/>
      <c r="B359" s="134"/>
      <c r="C359" s="134"/>
      <c r="D359" s="112"/>
      <c r="E359" s="112"/>
      <c r="F359" s="113"/>
      <c r="G359" s="112"/>
      <c r="H359" s="114"/>
    </row>
    <row r="360" spans="1:8">
      <c r="A360" s="134"/>
      <c r="B360" s="134"/>
      <c r="C360" s="134"/>
      <c r="D360" s="112"/>
      <c r="E360" s="112"/>
      <c r="F360" s="113"/>
      <c r="G360" s="112"/>
      <c r="H360" s="114"/>
    </row>
    <row r="361" spans="1:8">
      <c r="A361" s="134"/>
      <c r="B361" s="134"/>
      <c r="C361" s="134"/>
      <c r="D361" s="112"/>
      <c r="E361" s="112"/>
      <c r="F361" s="113"/>
      <c r="G361" s="112"/>
      <c r="H361" s="114"/>
    </row>
    <row r="362" spans="1:8">
      <c r="A362" s="134"/>
      <c r="B362" s="134"/>
      <c r="C362" s="134"/>
      <c r="D362" s="112"/>
      <c r="E362" s="112"/>
      <c r="F362" s="113"/>
      <c r="G362" s="112"/>
      <c r="H362" s="114"/>
    </row>
    <row r="363" spans="1:8">
      <c r="A363" s="134"/>
      <c r="B363" s="134"/>
      <c r="C363" s="134"/>
      <c r="D363" s="112"/>
      <c r="E363" s="112"/>
      <c r="F363" s="113"/>
      <c r="G363" s="112"/>
      <c r="H363" s="114"/>
    </row>
    <row r="364" spans="1:8">
      <c r="A364" s="134"/>
      <c r="B364" s="134"/>
      <c r="C364" s="134"/>
      <c r="D364" s="112"/>
      <c r="E364" s="112"/>
      <c r="F364" s="113"/>
      <c r="G364" s="112"/>
      <c r="H364" s="114"/>
    </row>
    <row r="365" spans="1:8">
      <c r="A365" s="134"/>
      <c r="B365" s="134"/>
      <c r="C365" s="134"/>
      <c r="D365" s="112"/>
      <c r="E365" s="112"/>
      <c r="F365" s="113"/>
      <c r="G365" s="112"/>
      <c r="H365" s="114"/>
    </row>
    <row r="366" spans="1:8">
      <c r="A366" s="134"/>
      <c r="B366" s="134"/>
      <c r="C366" s="134"/>
      <c r="D366" s="112"/>
      <c r="E366" s="112"/>
      <c r="F366" s="113"/>
      <c r="G366" s="112"/>
      <c r="H366" s="114"/>
    </row>
    <row r="367" spans="1:8">
      <c r="A367" s="134"/>
      <c r="B367" s="134"/>
      <c r="C367" s="134"/>
      <c r="D367" s="112"/>
      <c r="E367" s="112"/>
      <c r="F367" s="113"/>
      <c r="G367" s="112"/>
      <c r="H367" s="114"/>
    </row>
    <row r="368" spans="1:8">
      <c r="A368" s="134"/>
      <c r="B368" s="134"/>
      <c r="C368" s="134"/>
      <c r="D368" s="112"/>
      <c r="E368" s="112"/>
      <c r="F368" s="113"/>
      <c r="G368" s="112"/>
      <c r="H368" s="114"/>
    </row>
    <row r="369" spans="1:8">
      <c r="A369" s="134"/>
      <c r="B369" s="134"/>
      <c r="C369" s="134"/>
      <c r="D369" s="112"/>
      <c r="E369" s="112"/>
      <c r="F369" s="113"/>
      <c r="G369" s="112"/>
      <c r="H369" s="114"/>
    </row>
    <row r="370" spans="1:8">
      <c r="A370" s="134"/>
      <c r="B370" s="134"/>
      <c r="C370" s="134"/>
      <c r="D370" s="112"/>
      <c r="E370" s="112"/>
      <c r="F370" s="113"/>
      <c r="G370" s="112"/>
      <c r="H370" s="114"/>
    </row>
    <row r="371" spans="1:8">
      <c r="A371" s="134"/>
      <c r="B371" s="134"/>
      <c r="C371" s="134"/>
      <c r="D371" s="112"/>
      <c r="E371" s="112"/>
      <c r="F371" s="113"/>
      <c r="G371" s="112"/>
      <c r="H371" s="114"/>
    </row>
    <row r="372" spans="1:8">
      <c r="A372" s="134"/>
      <c r="B372" s="134"/>
      <c r="C372" s="134"/>
      <c r="D372" s="112"/>
      <c r="E372" s="112"/>
      <c r="F372" s="113"/>
      <c r="G372" s="112"/>
      <c r="H372" s="114"/>
    </row>
    <row r="373" spans="1:8">
      <c r="A373" s="134"/>
      <c r="B373" s="134"/>
      <c r="C373" s="134"/>
      <c r="D373" s="112"/>
      <c r="E373" s="112"/>
      <c r="F373" s="113"/>
      <c r="G373" s="112"/>
      <c r="H373" s="114"/>
    </row>
    <row r="374" spans="1:8">
      <c r="A374" s="134"/>
      <c r="B374" s="134"/>
      <c r="C374" s="134"/>
      <c r="D374" s="112"/>
      <c r="E374" s="112"/>
      <c r="F374" s="113"/>
      <c r="G374" s="112"/>
      <c r="H374" s="114"/>
    </row>
    <row r="375" spans="1:8">
      <c r="A375" s="134"/>
      <c r="B375" s="134"/>
      <c r="C375" s="134"/>
      <c r="D375" s="112"/>
      <c r="E375" s="112"/>
      <c r="F375" s="113"/>
      <c r="G375" s="112"/>
      <c r="H375" s="114"/>
    </row>
    <row r="376" spans="1:8">
      <c r="A376" s="134"/>
      <c r="B376" s="134"/>
      <c r="C376" s="134"/>
      <c r="D376" s="112"/>
      <c r="E376" s="112"/>
      <c r="F376" s="113"/>
      <c r="G376" s="112"/>
      <c r="H376" s="114"/>
    </row>
    <row r="377" spans="1:8">
      <c r="A377" s="134"/>
      <c r="B377" s="134"/>
      <c r="C377" s="134"/>
      <c r="D377" s="112"/>
      <c r="E377" s="112"/>
      <c r="F377" s="113"/>
      <c r="G377" s="112"/>
      <c r="H377" s="114"/>
    </row>
    <row r="378" spans="1:8">
      <c r="A378" s="134"/>
      <c r="B378" s="134"/>
      <c r="C378" s="134"/>
      <c r="D378" s="112"/>
      <c r="E378" s="112"/>
      <c r="F378" s="113"/>
      <c r="G378" s="112"/>
      <c r="H378" s="114"/>
    </row>
    <row r="379" spans="1:8">
      <c r="A379" s="134"/>
      <c r="B379" s="134"/>
      <c r="C379" s="134"/>
      <c r="D379" s="112"/>
      <c r="E379" s="112"/>
      <c r="F379" s="113"/>
      <c r="G379" s="112"/>
      <c r="H379" s="114"/>
    </row>
    <row r="380" spans="1:8">
      <c r="A380" s="134"/>
      <c r="B380" s="134"/>
      <c r="C380" s="134"/>
      <c r="D380" s="112"/>
      <c r="E380" s="112"/>
      <c r="F380" s="113"/>
      <c r="G380" s="112"/>
      <c r="H380" s="114"/>
    </row>
    <row r="381" spans="1:8">
      <c r="A381" s="134"/>
      <c r="B381" s="134"/>
      <c r="C381" s="134"/>
      <c r="D381" s="112"/>
      <c r="E381" s="112"/>
      <c r="F381" s="113"/>
      <c r="G381" s="112"/>
      <c r="H381" s="114"/>
    </row>
    <row r="382" spans="1:8">
      <c r="A382" s="134"/>
      <c r="B382" s="134"/>
      <c r="C382" s="134"/>
      <c r="D382" s="112"/>
      <c r="E382" s="112"/>
      <c r="F382" s="113"/>
      <c r="G382" s="112"/>
      <c r="H382" s="114"/>
    </row>
    <row r="383" spans="1:8">
      <c r="A383" s="134"/>
      <c r="B383" s="134"/>
      <c r="C383" s="134"/>
      <c r="D383" s="112"/>
      <c r="E383" s="112"/>
      <c r="F383" s="113"/>
      <c r="G383" s="112"/>
      <c r="H383" s="114"/>
    </row>
    <row r="384" spans="1:8">
      <c r="A384" s="134"/>
      <c r="B384" s="134"/>
      <c r="C384" s="134"/>
      <c r="D384" s="112"/>
      <c r="E384" s="112"/>
      <c r="F384" s="113"/>
      <c r="G384" s="112"/>
      <c r="H384" s="114"/>
    </row>
    <row r="385" spans="1:8">
      <c r="A385" s="134"/>
      <c r="B385" s="134"/>
      <c r="C385" s="134"/>
      <c r="D385" s="112"/>
      <c r="E385" s="112"/>
      <c r="F385" s="113"/>
      <c r="G385" s="112"/>
      <c r="H385" s="114"/>
    </row>
    <row r="386" spans="1:8">
      <c r="A386" s="134"/>
      <c r="B386" s="134"/>
      <c r="C386" s="134"/>
      <c r="D386" s="112"/>
      <c r="E386" s="112"/>
      <c r="F386" s="113"/>
      <c r="G386" s="112"/>
      <c r="H386" s="114"/>
    </row>
    <row r="387" spans="1:8">
      <c r="A387" s="134"/>
      <c r="B387" s="134"/>
      <c r="C387" s="134"/>
      <c r="D387" s="112"/>
      <c r="E387" s="112"/>
      <c r="F387" s="113"/>
      <c r="G387" s="112"/>
      <c r="H387" s="114"/>
    </row>
    <row r="388" spans="1:8">
      <c r="A388" s="134"/>
      <c r="B388" s="134"/>
      <c r="C388" s="134"/>
      <c r="D388" s="112"/>
      <c r="E388" s="112"/>
      <c r="F388" s="113"/>
      <c r="G388" s="112"/>
      <c r="H388" s="114"/>
    </row>
    <row r="389" spans="1:8">
      <c r="A389" s="134"/>
      <c r="B389" s="134"/>
      <c r="C389" s="134"/>
      <c r="D389" s="112"/>
      <c r="E389" s="112"/>
      <c r="F389" s="113"/>
      <c r="G389" s="112"/>
      <c r="H389" s="114"/>
    </row>
    <row r="390" spans="1:8">
      <c r="A390" s="134"/>
      <c r="B390" s="134"/>
      <c r="C390" s="134"/>
      <c r="D390" s="112"/>
      <c r="E390" s="112"/>
      <c r="F390" s="113"/>
      <c r="G390" s="112"/>
      <c r="H390" s="114"/>
    </row>
  </sheetData>
  <sheetProtection password="CC45" sheet="1" objects="1" scenarios="1" formatColumns="0" formatRows="0" selectLockedCells="1"/>
  <mergeCells count="18">
    <mergeCell ref="A61:G61"/>
    <mergeCell ref="A27:B27"/>
    <mergeCell ref="D27:H30"/>
    <mergeCell ref="A28:B28"/>
    <mergeCell ref="A29:B29"/>
    <mergeCell ref="A30:B30"/>
    <mergeCell ref="A32:B32"/>
    <mergeCell ref="D33:H37"/>
    <mergeCell ref="A34:B34"/>
    <mergeCell ref="A35:B35"/>
    <mergeCell ref="A36:B36"/>
    <mergeCell ref="A37:B37"/>
    <mergeCell ref="A26:B26"/>
    <mergeCell ref="A3:H3"/>
    <mergeCell ref="F19:H19"/>
    <mergeCell ref="A23:B23"/>
    <mergeCell ref="D23:H24"/>
    <mergeCell ref="A25:B25"/>
  </mergeCells>
  <pageMargins left="0.61" right="0.25" top="0.14000000000000001" bottom="0.12" header="0.25" footer="0.12"/>
  <pageSetup paperSize="5" scale="73" orientation="portrait" horizontalDpi="4294967293"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rgb="FF00B0F0"/>
  </sheetPr>
  <dimension ref="A1:AU87"/>
  <sheetViews>
    <sheetView showGridLines="0" topLeftCell="A31" zoomScale="85" zoomScaleNormal="85" workbookViewId="0">
      <selection activeCell="G13" sqref="G13"/>
    </sheetView>
  </sheetViews>
  <sheetFormatPr defaultRowHeight="13.5"/>
  <cols>
    <col min="1" max="1" width="12.7109375" style="3" customWidth="1"/>
    <col min="2" max="2" width="13.7109375" style="3" customWidth="1"/>
    <col min="3" max="3" width="28.85546875" style="3" customWidth="1"/>
    <col min="4" max="4" width="19.28515625" style="3" customWidth="1"/>
    <col min="5" max="5" width="20.140625" style="3" customWidth="1"/>
    <col min="6" max="6" width="19.42578125" style="3" customWidth="1"/>
    <col min="7" max="7" width="11.85546875" style="3" customWidth="1"/>
    <col min="8" max="9" width="20" style="3" customWidth="1"/>
    <col min="10" max="10" width="14.7109375" style="3" customWidth="1"/>
    <col min="11" max="11" width="21.7109375" style="3" customWidth="1"/>
    <col min="12" max="12" width="19.42578125" style="3" bestFit="1" customWidth="1"/>
    <col min="13" max="13" width="71.28515625" style="3" bestFit="1" customWidth="1"/>
    <col min="14" max="14" width="13.7109375" style="3" bestFit="1" customWidth="1"/>
    <col min="15" max="15" width="15" style="3" customWidth="1"/>
    <col min="16" max="18" width="13.140625" style="3" customWidth="1"/>
    <col min="19" max="19" width="11.140625" style="3" customWidth="1"/>
    <col min="20" max="20" width="9.140625" style="4"/>
    <col min="21" max="21" width="29.5703125" style="3" customWidth="1"/>
    <col min="22" max="22" width="9.140625" style="3"/>
    <col min="23" max="23" width="9.28515625" style="3" customWidth="1"/>
    <col min="24" max="24" width="9.140625" style="3"/>
    <col min="25" max="25" width="19.42578125" style="3" bestFit="1" customWidth="1"/>
    <col min="26" max="16384" width="9.140625" style="3"/>
  </cols>
  <sheetData>
    <row r="1" spans="1:23" ht="7.5" customHeight="1"/>
    <row r="2" spans="1:23" ht="57.75" customHeight="1">
      <c r="A2" s="413"/>
      <c r="B2" s="413"/>
      <c r="C2" s="413"/>
      <c r="D2" s="413"/>
      <c r="E2" s="413"/>
      <c r="F2" s="413"/>
      <c r="G2" s="413"/>
      <c r="H2" s="413"/>
      <c r="I2" s="413"/>
      <c r="J2" s="5"/>
      <c r="K2" s="5"/>
      <c r="L2" s="5"/>
      <c r="M2" s="5"/>
      <c r="N2" s="5"/>
      <c r="O2" s="5"/>
      <c r="P2" s="5"/>
      <c r="Q2" s="5"/>
      <c r="R2" s="5"/>
    </row>
    <row r="3" spans="1:23" ht="19.5" customHeight="1">
      <c r="A3" s="5"/>
      <c r="B3" s="5"/>
      <c r="C3" s="5"/>
      <c r="D3" s="5"/>
      <c r="E3" s="36"/>
      <c r="F3" s="5"/>
      <c r="G3" s="5"/>
      <c r="H3" s="5"/>
      <c r="I3" s="5"/>
      <c r="J3" s="5"/>
      <c r="K3" s="5"/>
      <c r="L3" s="5"/>
      <c r="M3" s="5"/>
      <c r="N3" s="5"/>
      <c r="O3" s="5"/>
      <c r="P3" s="5"/>
      <c r="Q3" s="5"/>
      <c r="R3" s="5"/>
    </row>
    <row r="4" spans="1:23">
      <c r="A4" s="431" t="s">
        <v>33</v>
      </c>
      <c r="B4" s="431"/>
      <c r="C4" s="431"/>
      <c r="D4" s="431"/>
      <c r="E4" s="431"/>
      <c r="F4" s="431"/>
      <c r="G4" s="431"/>
      <c r="H4" s="431"/>
      <c r="I4" s="431"/>
      <c r="J4" s="6"/>
      <c r="K4" s="6"/>
      <c r="L4" s="6"/>
      <c r="M4" s="6"/>
      <c r="N4" s="6"/>
      <c r="O4" s="6"/>
      <c r="P4" s="6"/>
      <c r="Q4" s="6"/>
      <c r="R4" s="6"/>
    </row>
    <row r="5" spans="1:23">
      <c r="A5" s="431" t="s">
        <v>32</v>
      </c>
      <c r="B5" s="431"/>
      <c r="C5" s="431"/>
      <c r="D5" s="431"/>
      <c r="E5" s="431"/>
      <c r="F5" s="431"/>
      <c r="G5" s="431"/>
      <c r="H5" s="431"/>
      <c r="I5" s="431"/>
      <c r="J5" s="6"/>
      <c r="K5" s="6"/>
      <c r="L5" s="6"/>
      <c r="M5" s="6"/>
      <c r="N5" s="6"/>
      <c r="O5" s="6"/>
      <c r="P5" s="6"/>
      <c r="Q5" s="6"/>
      <c r="R5" s="6"/>
    </row>
    <row r="6" spans="1:23">
      <c r="A6" s="431" t="s">
        <v>34</v>
      </c>
      <c r="B6" s="431"/>
      <c r="C6" s="431"/>
      <c r="D6" s="431"/>
      <c r="E6" s="431"/>
      <c r="F6" s="431"/>
      <c r="G6" s="431"/>
      <c r="H6" s="431"/>
      <c r="I6" s="431"/>
      <c r="J6" s="6"/>
      <c r="K6" s="6"/>
      <c r="L6" s="6"/>
      <c r="M6" s="6"/>
      <c r="N6" s="6"/>
      <c r="O6" s="6"/>
      <c r="P6" s="6"/>
      <c r="Q6" s="6"/>
      <c r="R6" s="6"/>
    </row>
    <row r="8" spans="1:23" ht="33.75" customHeight="1">
      <c r="A8" s="437" t="str">
        <f>UPPER("Computation Sheet and Payment Schedule")</f>
        <v>COMPUTATION SHEET AND PAYMENT SCHEDULE</v>
      </c>
      <c r="B8" s="437"/>
      <c r="C8" s="437"/>
      <c r="D8" s="437"/>
      <c r="E8" s="437"/>
      <c r="F8" s="437"/>
      <c r="G8" s="437"/>
      <c r="H8" s="437"/>
      <c r="I8" s="437"/>
      <c r="J8" s="7"/>
      <c r="K8" s="7"/>
      <c r="L8" s="7"/>
      <c r="M8" s="7"/>
      <c r="N8" s="7"/>
      <c r="O8" s="7"/>
      <c r="P8" s="7"/>
      <c r="Q8" s="7"/>
      <c r="R8" s="7"/>
    </row>
    <row r="9" spans="1:23" ht="22.5" customHeight="1">
      <c r="A9" s="415" t="s">
        <v>0</v>
      </c>
      <c r="B9" s="415"/>
      <c r="C9" s="41" t="s">
        <v>1</v>
      </c>
      <c r="D9" s="42"/>
      <c r="E9" s="416" t="s">
        <v>2</v>
      </c>
      <c r="F9" s="416"/>
      <c r="G9" s="42"/>
      <c r="H9" s="43" t="s">
        <v>3</v>
      </c>
      <c r="I9" s="44"/>
      <c r="J9" s="8"/>
      <c r="K9" s="8"/>
      <c r="L9" s="8"/>
      <c r="M9" s="8"/>
      <c r="N9" s="8"/>
      <c r="O9" s="8"/>
      <c r="P9" s="8"/>
      <c r="Q9" s="8"/>
      <c r="R9" s="8"/>
    </row>
    <row r="10" spans="1:23" ht="21" customHeight="1">
      <c r="A10" s="418" t="str">
        <f>IF(OR_NAME&lt;&gt;"",Client_Name &amp;" or " &amp; OR_NAME,Client_Name)</f>
        <v>** or **</v>
      </c>
      <c r="B10" s="418"/>
      <c r="C10" s="418" t="str">
        <f>PROPER('Master data Input'!C8)</f>
        <v>**</v>
      </c>
      <c r="D10" s="418"/>
      <c r="E10" s="45"/>
      <c r="F10" s="42" t="str">
        <f>Type_of_Loan&amp;TEXT(IF(Express="YES","-EXPRESS",""),"")</f>
        <v>SML</v>
      </c>
      <c r="G10" s="42"/>
      <c r="H10" s="46" t="s">
        <v>5</v>
      </c>
      <c r="I10" s="47">
        <f>Term_masterdatainput</f>
        <v>8</v>
      </c>
      <c r="J10" s="9">
        <f>Terms</f>
        <v>8</v>
      </c>
      <c r="K10" s="9"/>
      <c r="L10" s="10"/>
      <c r="M10" s="10"/>
      <c r="N10" s="10"/>
      <c r="O10" s="10"/>
      <c r="P10" s="10"/>
      <c r="Q10" s="10"/>
      <c r="R10" s="10"/>
    </row>
    <row r="11" spans="1:23" ht="33.75" customHeight="1">
      <c r="A11" s="418"/>
      <c r="B11" s="418"/>
      <c r="C11" s="418"/>
      <c r="D11" s="418"/>
      <c r="E11" s="42"/>
      <c r="F11" s="48" t="s">
        <v>30</v>
      </c>
      <c r="G11" s="49">
        <f>Interest</f>
        <v>0.03</v>
      </c>
      <c r="H11" s="45" t="s">
        <v>56</v>
      </c>
      <c r="I11" s="45" t="s">
        <v>4</v>
      </c>
      <c r="J11" s="10"/>
      <c r="K11" s="10"/>
      <c r="L11" s="10"/>
      <c r="M11" s="10"/>
      <c r="N11" s="10"/>
      <c r="O11" s="10"/>
      <c r="P11" s="10"/>
      <c r="Q11" s="10"/>
      <c r="R11" s="10"/>
    </row>
    <row r="12" spans="1:23" ht="28.5" customHeight="1">
      <c r="A12" s="418" t="str">
        <f>IF(UPPER(OR_NAME)&lt;&gt;" ",UPPER(OR_NAME),".")</f>
        <v>**</v>
      </c>
      <c r="B12" s="418"/>
      <c r="C12" s="418"/>
      <c r="D12" s="418"/>
      <c r="E12" s="42"/>
      <c r="F12" s="42"/>
      <c r="G12" s="48"/>
      <c r="H12" s="50">
        <f>Date_Released</f>
        <v>46083</v>
      </c>
      <c r="I12" s="51">
        <f>MaturityDate_data_input</f>
        <v>46342</v>
      </c>
      <c r="K12" s="11"/>
      <c r="L12" s="11"/>
      <c r="M12" s="11">
        <f>'Master data Input'!F30</f>
        <v>46342</v>
      </c>
      <c r="N12" s="11" t="s">
        <v>68</v>
      </c>
      <c r="O12" s="12">
        <f>I10</f>
        <v>8</v>
      </c>
      <c r="P12" s="11"/>
      <c r="Q12" s="11"/>
      <c r="R12" s="11"/>
    </row>
    <row r="13" spans="1:23" ht="18.75" customHeight="1">
      <c r="A13" s="418"/>
      <c r="B13" s="418"/>
      <c r="C13" s="52"/>
      <c r="D13" s="52"/>
      <c r="E13" s="42"/>
      <c r="F13" s="48" t="s">
        <v>31</v>
      </c>
      <c r="G13" s="53">
        <f>'Semi Monthly SL'!Monthly_Inst</f>
        <v>12</v>
      </c>
      <c r="H13" s="45"/>
      <c r="I13" s="54"/>
      <c r="J13" s="8"/>
      <c r="K13" s="8"/>
      <c r="L13" s="8"/>
      <c r="M13" s="8"/>
      <c r="N13" s="8"/>
      <c r="O13" s="8"/>
      <c r="P13" s="8"/>
      <c r="Q13" s="8"/>
      <c r="R13" s="8"/>
    </row>
    <row r="14" spans="1:23" ht="20.25">
      <c r="A14" s="418"/>
      <c r="B14" s="418"/>
      <c r="C14" s="38"/>
      <c r="D14" s="38"/>
      <c r="E14" s="38"/>
      <c r="F14" s="38"/>
      <c r="G14" s="38"/>
      <c r="H14" s="39"/>
      <c r="I14" s="39"/>
      <c r="J14" s="8"/>
      <c r="K14" s="8"/>
      <c r="L14" s="8"/>
      <c r="M14" s="13">
        <f>IF(U27&lt;H12,H12,U27)</f>
        <v>46083</v>
      </c>
      <c r="N14" s="8"/>
      <c r="O14" s="8"/>
      <c r="P14" s="8"/>
      <c r="Q14" s="8"/>
      <c r="R14" s="8"/>
    </row>
    <row r="15" spans="1:23" ht="20.25">
      <c r="A15" s="435" t="s">
        <v>6</v>
      </c>
      <c r="B15" s="435"/>
      <c r="C15" s="435"/>
      <c r="D15" s="435"/>
      <c r="E15" s="435"/>
      <c r="F15" s="435"/>
      <c r="G15" s="435"/>
      <c r="H15" s="435"/>
      <c r="I15" s="435"/>
      <c r="J15" s="14"/>
      <c r="K15" s="14"/>
      <c r="L15" s="14"/>
      <c r="M15" s="14"/>
      <c r="N15" s="14"/>
      <c r="O15" s="14"/>
      <c r="P15" s="14"/>
      <c r="Q15" s="14"/>
      <c r="R15" s="14"/>
    </row>
    <row r="16" spans="1:23" ht="18.75">
      <c r="A16" s="37"/>
      <c r="B16" s="37"/>
      <c r="C16" s="37"/>
      <c r="D16" s="37"/>
      <c r="E16" s="37"/>
      <c r="F16" s="37"/>
      <c r="G16" s="37"/>
      <c r="H16" s="37"/>
      <c r="I16" s="37"/>
      <c r="J16" s="8"/>
      <c r="K16" s="8"/>
      <c r="L16" s="8"/>
      <c r="M16" s="8"/>
      <c r="N16" s="8"/>
      <c r="O16" s="8"/>
      <c r="P16" s="8"/>
      <c r="Q16" s="8"/>
      <c r="R16" s="8"/>
      <c r="W16" s="3">
        <v>7</v>
      </c>
    </row>
    <row r="17" spans="1:24" ht="20.25">
      <c r="A17" s="55" t="s">
        <v>99</v>
      </c>
      <c r="B17" s="54"/>
      <c r="C17" s="54"/>
      <c r="D17" s="54"/>
      <c r="E17" s="54"/>
      <c r="F17" s="56">
        <f>IF(get_loan_amount="NET AMOUNT",get_gross_amount,Loan_Amount)</f>
        <v>80953.710000000006</v>
      </c>
      <c r="G17" s="54"/>
      <c r="H17" s="54"/>
      <c r="I17" s="54"/>
      <c r="J17" s="8"/>
      <c r="K17" s="8"/>
      <c r="L17" s="8"/>
      <c r="M17" s="8"/>
      <c r="N17" s="8"/>
      <c r="O17" s="8"/>
      <c r="P17" s="8"/>
      <c r="Q17" s="8"/>
      <c r="R17" s="8"/>
    </row>
    <row r="18" spans="1:24" ht="20.25">
      <c r="A18" s="54"/>
      <c r="B18" s="54"/>
      <c r="C18" s="54"/>
      <c r="D18" s="54"/>
      <c r="E18" s="54"/>
      <c r="F18" s="57"/>
      <c r="G18" s="54"/>
      <c r="H18" s="54"/>
      <c r="I18" s="54"/>
      <c r="J18" s="8"/>
      <c r="K18" s="8"/>
      <c r="L18" s="8"/>
      <c r="M18" s="8"/>
      <c r="N18" s="8"/>
      <c r="O18" s="8"/>
      <c r="P18" s="8"/>
      <c r="Q18" s="8"/>
      <c r="R18" s="8"/>
    </row>
    <row r="19" spans="1:24" ht="20.25">
      <c r="A19" s="54" t="s">
        <v>7</v>
      </c>
      <c r="B19" s="54"/>
      <c r="C19" s="54"/>
      <c r="D19" s="54"/>
      <c r="E19" s="54"/>
      <c r="F19" s="57"/>
      <c r="G19" s="54" t="s">
        <v>106</v>
      </c>
      <c r="H19" s="54"/>
      <c r="I19" s="58" t="str">
        <f>IF(I20&gt;0,"NO", "YES")</f>
        <v>NO</v>
      </c>
      <c r="J19" s="8"/>
      <c r="K19" s="8"/>
      <c r="L19" s="8"/>
      <c r="M19" s="8"/>
      <c r="N19" s="8"/>
      <c r="O19" s="8"/>
      <c r="P19" s="8"/>
      <c r="Q19" s="8"/>
      <c r="R19" s="8"/>
    </row>
    <row r="20" spans="1:24" ht="20.25">
      <c r="A20" s="54" t="s">
        <v>8</v>
      </c>
      <c r="B20" s="59">
        <f>Interest</f>
        <v>0.03</v>
      </c>
      <c r="C20" s="54" t="str">
        <f>"from"&amp;TEXT(Date_Released," mm/dd/yyyy")&amp;" to "&amp;TEXT(Date_released2," mm/dd/yyyy")</f>
        <v>from 03/02/2026 to  03/02/2026</v>
      </c>
      <c r="D20" s="54"/>
      <c r="E20" s="60">
        <f>IF(Type_of_Loan="BL-SA",0,ROUND(Principal_Amount*(Interest/30)*DATEDIF(Date_Released,Date_released2,"d"),2))</f>
        <v>0</v>
      </c>
      <c r="F20" s="61"/>
      <c r="G20" s="54" t="s">
        <v>14</v>
      </c>
      <c r="H20" s="54"/>
      <c r="I20" s="62" t="str">
        <f>'Master data Input'!C18</f>
        <v>No</v>
      </c>
      <c r="J20" s="15" t="e">
        <f>E20+D43/B43-(360/DATEDIF(H12,I12,"d"))</f>
        <v>#DIV/0!</v>
      </c>
      <c r="K20" s="8"/>
      <c r="L20" s="8" t="e">
        <f>DATEDIF(H12,C45,"d")</f>
        <v>#NUM!</v>
      </c>
      <c r="M20" s="8" t="s">
        <v>47</v>
      </c>
      <c r="N20" s="8"/>
      <c r="O20" s="8"/>
      <c r="P20" s="8"/>
      <c r="Q20" s="8"/>
      <c r="R20" s="8"/>
    </row>
    <row r="21" spans="1:24" ht="20.25">
      <c r="A21" s="63" t="s">
        <v>98</v>
      </c>
      <c r="B21" s="54"/>
      <c r="C21" s="64">
        <f>Processing_Fee_in_Percentage</f>
        <v>7.4999999999999997E-2</v>
      </c>
      <c r="D21" s="54"/>
      <c r="E21" s="65">
        <f>Principal_Amount*Percent_processingfee</f>
        <v>6071.5282500000003</v>
      </c>
      <c r="F21" s="57"/>
      <c r="G21" s="54" t="s">
        <v>95</v>
      </c>
      <c r="H21" s="54"/>
      <c r="I21" s="66" t="str">
        <f>Installment_Type</f>
        <v>Monthly</v>
      </c>
      <c r="J21" s="8"/>
      <c r="K21" s="8"/>
      <c r="L21" s="8">
        <f>DATEDIF(H12,M14,"D")</f>
        <v>0</v>
      </c>
      <c r="M21" s="8"/>
      <c r="N21" s="8"/>
      <c r="O21" s="8"/>
      <c r="P21" s="8"/>
      <c r="Q21" s="8"/>
      <c r="R21" s="8"/>
      <c r="U21" s="16"/>
    </row>
    <row r="22" spans="1:24" ht="20.25">
      <c r="A22" s="54" t="s">
        <v>50</v>
      </c>
      <c r="B22" s="54"/>
      <c r="C22" s="64"/>
      <c r="D22" s="54"/>
      <c r="E22" s="65" t="str">
        <f>Account_Management_fee</f>
        <v>Auto compute**</v>
      </c>
      <c r="F22" s="57"/>
      <c r="G22" s="54"/>
      <c r="H22" s="54"/>
      <c r="I22" s="54"/>
      <c r="J22" s="8"/>
      <c r="K22" s="8"/>
      <c r="L22" s="8"/>
      <c r="M22" s="8"/>
      <c r="N22" s="8"/>
      <c r="O22" s="8"/>
      <c r="P22" s="8"/>
      <c r="Q22" s="8"/>
      <c r="R22" s="8"/>
      <c r="U22" s="16"/>
    </row>
    <row r="23" spans="1:24" ht="20.25">
      <c r="A23" s="54" t="s">
        <v>11</v>
      </c>
      <c r="B23" s="54"/>
      <c r="C23" s="64"/>
      <c r="D23" s="54"/>
      <c r="E23" s="70">
        <f>Notarial_Fee</f>
        <v>500</v>
      </c>
      <c r="F23" s="57"/>
      <c r="G23" s="54"/>
      <c r="H23" s="54"/>
      <c r="I23" s="54"/>
      <c r="J23" s="8"/>
      <c r="K23" s="8"/>
      <c r="L23" s="8"/>
      <c r="M23" s="8"/>
      <c r="N23" s="8"/>
      <c r="O23" s="8"/>
      <c r="P23" s="8"/>
      <c r="Q23" s="8"/>
      <c r="R23" s="8"/>
      <c r="U23" s="16"/>
    </row>
    <row r="24" spans="1:24" ht="20.25">
      <c r="A24" s="54" t="s">
        <v>42</v>
      </c>
      <c r="B24" s="54"/>
      <c r="C24" s="64"/>
      <c r="D24" s="54"/>
      <c r="E24" s="70">
        <f>Docfee_Yes_or_No</f>
        <v>500</v>
      </c>
      <c r="F24" s="57"/>
      <c r="G24" s="54"/>
      <c r="H24" s="54"/>
      <c r="I24" s="54"/>
      <c r="J24" s="8"/>
      <c r="K24" s="8"/>
      <c r="L24" s="8"/>
      <c r="M24" s="8"/>
      <c r="N24" s="8"/>
      <c r="O24" s="8"/>
      <c r="P24" s="8"/>
      <c r="Q24" s="8"/>
      <c r="R24" s="8"/>
      <c r="U24" s="16"/>
    </row>
    <row r="25" spans="1:24" ht="20.25">
      <c r="A25" s="54" t="str">
        <f>'Master data Input'!B42</f>
        <v>MLRI -Insurance</v>
      </c>
      <c r="E25" s="228" t="str">
        <f>Insurance</f>
        <v>Auto compute**</v>
      </c>
      <c r="F25" s="57"/>
      <c r="G25" s="54"/>
      <c r="H25" s="54"/>
      <c r="I25" s="54"/>
      <c r="J25" s="8"/>
      <c r="K25" s="8"/>
      <c r="L25" s="8"/>
      <c r="M25" s="8"/>
      <c r="N25" s="8"/>
      <c r="O25" s="8"/>
      <c r="P25" s="8"/>
      <c r="Q25" s="8"/>
      <c r="R25" s="8"/>
      <c r="U25" s="16"/>
    </row>
    <row r="26" spans="1:24" ht="20.25">
      <c r="A26" s="54" t="str">
        <f>'Master data Input'!B45</f>
        <v>Miscellaneous</v>
      </c>
      <c r="B26" s="54"/>
      <c r="C26" s="64"/>
      <c r="D26" s="54"/>
      <c r="E26" s="70">
        <f>'Master data Input'!C45</f>
        <v>500</v>
      </c>
      <c r="F26" s="57"/>
      <c r="G26" s="54" t="s">
        <v>15</v>
      </c>
      <c r="H26" s="54"/>
      <c r="I26" s="58"/>
      <c r="J26" s="8"/>
      <c r="K26" s="8"/>
      <c r="L26" s="8">
        <f>DATEDIF(M14,M12,"D")</f>
        <v>259</v>
      </c>
      <c r="M26" s="8"/>
      <c r="N26" s="8"/>
      <c r="O26" s="8"/>
      <c r="P26" s="8"/>
      <c r="Q26" s="8"/>
      <c r="R26" s="8"/>
    </row>
    <row r="27" spans="1:24" ht="21" thickBot="1">
      <c r="A27" s="54" t="s">
        <v>9</v>
      </c>
      <c r="B27" s="54"/>
      <c r="C27" s="54"/>
      <c r="D27" s="54"/>
      <c r="E27" s="67">
        <f>SUM(E20:E26)</f>
        <v>7571.5282500000003</v>
      </c>
      <c r="F27" s="57"/>
      <c r="G27" s="54"/>
      <c r="H27" s="54"/>
      <c r="I27" s="54"/>
      <c r="J27" s="8"/>
      <c r="K27" s="8"/>
      <c r="L27" s="8">
        <f>DATEDIF(H12,M12,"D")</f>
        <v>259</v>
      </c>
      <c r="M27" s="8"/>
      <c r="N27" s="8"/>
      <c r="O27" s="8"/>
      <c r="P27" s="8"/>
      <c r="Q27" s="8"/>
      <c r="R27" s="8"/>
      <c r="U27" s="16">
        <f>DATE(YEAR(C45),MONTH(C45),DAY(C45)-30)</f>
        <v>42621</v>
      </c>
    </row>
    <row r="28" spans="1:24" ht="21" thickTop="1">
      <c r="A28" s="68" t="s">
        <v>10</v>
      </c>
      <c r="B28" s="54"/>
      <c r="C28" s="54"/>
      <c r="D28" s="54"/>
      <c r="E28" s="54"/>
      <c r="F28" s="57"/>
      <c r="G28" s="54" t="s">
        <v>62</v>
      </c>
      <c r="H28" s="58" t="str">
        <f>"PN-"&amp;TEXT('Master data Input'!F10,"0000-  ")&amp;TEXT(" "," ")&amp;'Master data Input'!C14</f>
        <v>PN-. SML</v>
      </c>
      <c r="I28" s="58"/>
      <c r="J28" s="8"/>
      <c r="K28" s="8"/>
      <c r="L28" s="8"/>
      <c r="M28" s="8"/>
      <c r="N28" s="8"/>
      <c r="O28" s="8"/>
      <c r="P28" s="8"/>
      <c r="Q28" s="8"/>
      <c r="R28" s="8"/>
    </row>
    <row r="29" spans="1:24" ht="20.25">
      <c r="A29" s="54" t="str">
        <f>'Master data Input'!B12</f>
        <v>Outstanding Balance from previous loan</v>
      </c>
      <c r="B29" s="54"/>
      <c r="C29" s="54"/>
      <c r="D29" s="54"/>
      <c r="E29" s="69">
        <f>Outstanding_Balance_from_previous_loan</f>
        <v>0</v>
      </c>
      <c r="F29" s="57"/>
      <c r="G29" s="54"/>
      <c r="H29" s="54"/>
      <c r="I29" s="54"/>
      <c r="J29" s="8"/>
      <c r="K29" s="8"/>
      <c r="L29" s="8"/>
      <c r="M29" s="8"/>
      <c r="N29" s="8"/>
      <c r="O29" s="8"/>
      <c r="P29" s="8" t="e">
        <f>TEXT($L$20,"0")&amp;"/"&amp;TEXT($L$21,"0")&amp;"/"&amp;TEXT($L$26,"0")&amp;"/"&amp;TEXT($L$27,"0")</f>
        <v>#NUM!</v>
      </c>
      <c r="Q29" s="8"/>
      <c r="R29" s="8"/>
      <c r="X29" s="3">
        <f>45000*0.15*(305/360)</f>
        <v>5718.75</v>
      </c>
    </row>
    <row r="30" spans="1:24" ht="20.25">
      <c r="A30" s="54" t="s">
        <v>149</v>
      </c>
      <c r="B30" s="54"/>
      <c r="C30" s="54"/>
      <c r="D30" s="54"/>
      <c r="E30" s="69">
        <f>Advanced_Payment</f>
        <v>0</v>
      </c>
      <c r="F30" s="57"/>
      <c r="G30" s="54"/>
      <c r="H30" s="54"/>
      <c r="I30" s="54"/>
      <c r="J30" s="8"/>
      <c r="K30" s="8"/>
      <c r="L30" s="8" t="e">
        <f>DATEDIF(M14,C45,"d")</f>
        <v>#NUM!</v>
      </c>
      <c r="M30" s="8"/>
      <c r="N30" s="8"/>
      <c r="O30" s="8"/>
      <c r="P30" s="8"/>
      <c r="Q30" s="8"/>
      <c r="R30" s="8"/>
    </row>
    <row r="31" spans="1:24" ht="20.25">
      <c r="A31" s="54"/>
      <c r="B31" s="54"/>
      <c r="C31" s="54"/>
      <c r="D31" s="54"/>
      <c r="E31" s="70"/>
      <c r="F31" s="57"/>
      <c r="G31" s="54"/>
      <c r="H31" s="54"/>
      <c r="I31" s="54"/>
      <c r="J31" s="8"/>
      <c r="K31" s="8"/>
      <c r="L31" s="8"/>
      <c r="M31" s="8"/>
      <c r="N31" s="8"/>
      <c r="O31" s="8"/>
      <c r="P31" s="8"/>
      <c r="Q31" s="8"/>
      <c r="R31" s="8"/>
    </row>
    <row r="32" spans="1:24" ht="20.25">
      <c r="A32" s="54"/>
      <c r="B32" s="54"/>
      <c r="C32" s="54"/>
      <c r="D32" s="54"/>
      <c r="E32" s="70"/>
      <c r="F32" s="57"/>
      <c r="G32" s="54"/>
      <c r="H32" s="54"/>
      <c r="I32" s="54"/>
      <c r="J32" s="8"/>
      <c r="K32" s="8"/>
      <c r="L32" s="8"/>
      <c r="M32" s="17"/>
      <c r="N32" s="17"/>
      <c r="O32" s="8"/>
      <c r="P32" s="18"/>
      <c r="Q32" s="8"/>
      <c r="R32" s="8"/>
    </row>
    <row r="33" spans="1:47" ht="21" thickBot="1">
      <c r="A33" s="54"/>
      <c r="B33" s="54"/>
      <c r="C33" s="54"/>
      <c r="D33" s="54"/>
      <c r="E33" s="71"/>
      <c r="F33" s="72">
        <f>ROUNDUP(Total_Finance_Charge+SUM($E$29:$E$33),0)</f>
        <v>7572</v>
      </c>
      <c r="G33" s="54" t="s">
        <v>102</v>
      </c>
      <c r="H33" s="54"/>
      <c r="I33" s="58">
        <f>'Master data Input'!F42</f>
        <v>0</v>
      </c>
      <c r="J33" s="8"/>
      <c r="K33" s="8"/>
      <c r="L33" s="8"/>
      <c r="M33" s="8"/>
      <c r="N33" s="8"/>
      <c r="O33" s="8"/>
      <c r="P33" s="8"/>
      <c r="Q33" s="8"/>
      <c r="R33" s="8"/>
    </row>
    <row r="34" spans="1:47" ht="21" thickTop="1">
      <c r="A34" s="54"/>
      <c r="B34" s="54"/>
      <c r="C34" s="54"/>
      <c r="D34" s="54"/>
      <c r="E34" s="54"/>
      <c r="F34" s="73"/>
      <c r="G34" s="54"/>
      <c r="H34" s="54"/>
      <c r="I34" s="54"/>
      <c r="J34" s="8"/>
      <c r="K34" s="8"/>
      <c r="L34" s="8"/>
      <c r="M34" s="8"/>
      <c r="N34" s="8"/>
      <c r="O34" s="8"/>
      <c r="P34" s="8"/>
      <c r="Q34" s="8"/>
      <c r="R34" s="8"/>
    </row>
    <row r="35" spans="1:47" ht="21" thickBot="1">
      <c r="A35" s="55" t="s">
        <v>12</v>
      </c>
      <c r="B35" s="54"/>
      <c r="C35" s="54"/>
      <c r="D35" s="54"/>
      <c r="E35" s="54"/>
      <c r="F35" s="72">
        <f>ROUNDUP(Principal_Amount-Total_Deduction,0)</f>
        <v>73382</v>
      </c>
      <c r="G35" s="54"/>
      <c r="H35" s="54"/>
      <c r="I35" s="54"/>
      <c r="J35" s="8"/>
      <c r="K35" s="8"/>
      <c r="L35" s="8"/>
      <c r="M35" s="8" t="s">
        <v>48</v>
      </c>
      <c r="N35" s="8"/>
      <c r="O35" s="8"/>
      <c r="P35" s="8"/>
      <c r="Q35" s="8"/>
      <c r="R35" s="8"/>
      <c r="U35" s="3" t="s">
        <v>43</v>
      </c>
    </row>
    <row r="36" spans="1:47" ht="21" thickTop="1">
      <c r="A36" s="54"/>
      <c r="B36" s="54"/>
      <c r="C36" s="54"/>
      <c r="D36" s="54"/>
      <c r="E36" s="54"/>
      <c r="F36" s="57"/>
      <c r="G36" s="54"/>
      <c r="H36" s="54"/>
      <c r="I36" s="54"/>
      <c r="J36" s="8"/>
      <c r="K36" s="8"/>
      <c r="L36" s="8"/>
      <c r="M36" s="8"/>
      <c r="N36" s="8"/>
      <c r="O36" s="8"/>
      <c r="P36" s="8"/>
      <c r="Q36" s="8"/>
      <c r="R36" s="8"/>
    </row>
    <row r="37" spans="1:47" ht="21" thickBot="1">
      <c r="A37" s="54" t="s">
        <v>59</v>
      </c>
      <c r="B37" s="54"/>
      <c r="C37" s="54"/>
      <c r="D37" s="54"/>
      <c r="E37" s="54"/>
      <c r="F37" s="74">
        <f>'Monthly -client copy'!F33</f>
        <v>3.6999999999999998E-2</v>
      </c>
      <c r="G37" s="54"/>
      <c r="H37" s="54"/>
      <c r="I37" s="54"/>
      <c r="J37" s="19"/>
      <c r="K37" s="8"/>
      <c r="L37" s="8"/>
      <c r="M37" s="8" t="s">
        <v>51</v>
      </c>
      <c r="N37" s="8"/>
      <c r="O37" s="8"/>
      <c r="P37" s="8"/>
      <c r="Q37" s="8"/>
      <c r="R37" s="8"/>
    </row>
    <row r="38" spans="1:47" ht="21.75" thickTop="1" thickBot="1">
      <c r="A38" s="54" t="s">
        <v>13</v>
      </c>
      <c r="B38" s="54"/>
      <c r="C38" s="54"/>
      <c r="D38" s="54"/>
      <c r="E38" s="54"/>
      <c r="F38" s="75">
        <f>'Monthly -client copy'!F32</f>
        <v>0.10852916129476957</v>
      </c>
      <c r="G38" s="54" t="s">
        <v>16</v>
      </c>
      <c r="H38" s="54"/>
      <c r="I38" s="76">
        <f>Date_Released</f>
        <v>46083</v>
      </c>
      <c r="J38" s="20"/>
      <c r="K38" s="20"/>
      <c r="L38" s="20"/>
      <c r="M38" s="20"/>
      <c r="N38" s="20"/>
      <c r="O38" s="20"/>
      <c r="P38" s="20"/>
      <c r="Q38" s="20"/>
      <c r="R38" s="20"/>
    </row>
    <row r="39" spans="1:47" ht="21" thickTop="1">
      <c r="A39" s="54"/>
      <c r="B39" s="54"/>
      <c r="C39" s="54"/>
      <c r="D39" s="54"/>
      <c r="E39" s="54"/>
      <c r="F39" s="54"/>
      <c r="G39" s="54" t="s">
        <v>54</v>
      </c>
      <c r="H39" s="54" t="str">
        <f>UPPER(Agents)</f>
        <v/>
      </c>
      <c r="I39" s="54"/>
      <c r="J39" s="8"/>
      <c r="K39" s="8"/>
      <c r="L39" s="8"/>
      <c r="M39" s="8"/>
      <c r="N39" s="8"/>
      <c r="O39" s="8"/>
      <c r="P39" s="8"/>
      <c r="Q39" s="8"/>
      <c r="R39" s="8"/>
      <c r="Y39" s="21"/>
    </row>
    <row r="40" spans="1:47" ht="20.25">
      <c r="A40" s="435" t="s">
        <v>17</v>
      </c>
      <c r="B40" s="435"/>
      <c r="C40" s="435"/>
      <c r="D40" s="435"/>
      <c r="E40" s="435"/>
      <c r="F40" s="435"/>
      <c r="G40" s="435"/>
      <c r="H40" s="435"/>
      <c r="I40" s="435"/>
      <c r="J40" s="14"/>
      <c r="K40" s="14"/>
      <c r="L40" s="14"/>
      <c r="M40" s="14"/>
      <c r="N40" s="14"/>
      <c r="O40" s="14"/>
      <c r="P40" s="14"/>
      <c r="Q40" s="14"/>
      <c r="R40" s="14"/>
    </row>
    <row r="41" spans="1:47" ht="20.25">
      <c r="A41" s="54"/>
      <c r="B41" s="54"/>
      <c r="C41" s="54"/>
      <c r="D41" s="54"/>
      <c r="E41" s="54"/>
      <c r="F41" s="54"/>
      <c r="G41" s="54"/>
      <c r="H41" s="54"/>
      <c r="I41" s="54"/>
      <c r="J41" s="8"/>
      <c r="K41" s="8"/>
      <c r="L41" s="8"/>
      <c r="M41" s="8"/>
      <c r="N41" s="17">
        <f>D43+E20</f>
        <v>14049.306316385209</v>
      </c>
      <c r="O41" s="17">
        <v>11667</v>
      </c>
      <c r="P41" s="8"/>
      <c r="Q41" s="8"/>
      <c r="R41" s="8"/>
    </row>
    <row r="42" spans="1:47" ht="20.25">
      <c r="A42" s="54"/>
      <c r="B42" s="421" t="s">
        <v>18</v>
      </c>
      <c r="C42" s="422"/>
      <c r="D42" s="421" t="s">
        <v>19</v>
      </c>
      <c r="E42" s="422"/>
      <c r="F42" s="421" t="s">
        <v>25</v>
      </c>
      <c r="G42" s="439"/>
      <c r="H42" s="422"/>
      <c r="I42" s="336"/>
      <c r="J42" s="54"/>
      <c r="K42" s="8"/>
      <c r="L42" s="8"/>
      <c r="M42" s="8"/>
      <c r="N42" s="8"/>
      <c r="O42" s="8"/>
      <c r="P42" s="8"/>
      <c r="Q42" s="8"/>
      <c r="R42" s="8"/>
      <c r="S42" s="8"/>
      <c r="T42" s="3"/>
      <c r="U42" s="4"/>
      <c r="Z42" s="22">
        <f>DATE(YEAR(U21),MONTH(U21)+1,DAY(U21))</f>
        <v>31</v>
      </c>
    </row>
    <row r="43" spans="1:47" ht="26.25" customHeight="1">
      <c r="A43" s="54"/>
      <c r="B43" s="304"/>
      <c r="C43" s="304">
        <f>'Monthly -client copy'!F67</f>
        <v>80953.709999999992</v>
      </c>
      <c r="D43" s="329">
        <f>Total_InterestRate</f>
        <v>14049.306316385209</v>
      </c>
      <c r="E43" s="305"/>
      <c r="F43" s="304">
        <f>C43+Total_UII</f>
        <v>95003.016316385198</v>
      </c>
      <c r="G43" s="306"/>
      <c r="H43" s="305"/>
      <c r="I43" s="60"/>
      <c r="J43" s="54"/>
      <c r="K43" s="8"/>
      <c r="L43" s="23">
        <f>DATE(YEAR($C$45),MONTH($C$45)+($G$13-1),DAY($C$45))</f>
        <v>42986</v>
      </c>
      <c r="M43" s="8" t="s">
        <v>46</v>
      </c>
      <c r="N43" s="8"/>
      <c r="O43" s="8"/>
      <c r="P43" s="8"/>
      <c r="Q43" s="8"/>
      <c r="R43" s="8"/>
      <c r="S43" s="8"/>
      <c r="T43" s="21"/>
      <c r="U43" s="4"/>
    </row>
    <row r="44" spans="1:47" ht="20.25">
      <c r="A44" s="54"/>
      <c r="B44" s="253" t="s">
        <v>20</v>
      </c>
      <c r="C44" s="77" t="s">
        <v>21</v>
      </c>
      <c r="D44" s="78" t="s">
        <v>22</v>
      </c>
      <c r="E44" s="432" t="s">
        <v>23</v>
      </c>
      <c r="F44" s="432"/>
      <c r="G44" s="432" t="s">
        <v>24</v>
      </c>
      <c r="H44" s="432"/>
      <c r="I44" s="337"/>
      <c r="J44" s="24" t="s">
        <v>123</v>
      </c>
      <c r="K44" s="136"/>
      <c r="L44" s="26"/>
      <c r="M44" s="8"/>
      <c r="N44" s="8"/>
      <c r="O44" s="8"/>
      <c r="P44" s="8"/>
      <c r="Q44" s="8"/>
      <c r="T44" s="3"/>
      <c r="AI44" s="27"/>
      <c r="AJ44" s="27"/>
      <c r="AK44" s="27"/>
      <c r="AL44" s="27"/>
      <c r="AM44" s="27"/>
      <c r="AN44" s="27"/>
      <c r="AO44" s="27"/>
      <c r="AP44" s="27"/>
      <c r="AQ44" s="27"/>
      <c r="AR44" s="28"/>
      <c r="AS44" s="28"/>
      <c r="AT44" s="28"/>
      <c r="AU44" s="28"/>
    </row>
    <row r="45" spans="1:47" ht="20.25">
      <c r="A45" s="54"/>
      <c r="B45" s="83">
        <v>1</v>
      </c>
      <c r="C45" s="327">
        <v>42651</v>
      </c>
      <c r="D45" s="326">
        <f t="shared" ref="D45:D69" si="0">IF(PERIOD&lt;&gt;"",($F$43/$B$70),"")</f>
        <v>7916.9180263654334</v>
      </c>
      <c r="E45" s="433">
        <f>IF(NOT(B45=AA27),$D$43*(($B$70-(B45-1))/((($B$70+1)/2)*$B$70)),"")</f>
        <v>2161.4317409823402</v>
      </c>
      <c r="F45" s="434"/>
      <c r="G45" s="429">
        <f>D45-E45</f>
        <v>5755.4862853830928</v>
      </c>
      <c r="H45" s="430"/>
      <c r="I45" s="338"/>
      <c r="J45" s="339">
        <f>C43-G45</f>
        <v>75198.223714616906</v>
      </c>
      <c r="K45" s="135" t="str">
        <f>IF(WEEKDAY(L45,2)=1,"Monday",IF(WEEKDAY(L45,2)=2,"Tuesday",IF(WEEKDAY(L45,2)=3,"Wednesday",IF(WEEKDAY(L45,2)=4,"Thursday",IF(WEEKDAY(L45,2)=5,"Friday",IF(WEEKDAY(L45,2)=6,"Saturday",IF(WEEKDAY(L45,2)=7,"Sunday")))))))</f>
        <v>Thursday</v>
      </c>
      <c r="L45" s="32">
        <f>'Master data Input'!C30</f>
        <v>46128</v>
      </c>
      <c r="M45" s="8"/>
      <c r="N45" s="8"/>
      <c r="O45" s="8"/>
      <c r="P45" s="8"/>
      <c r="Q45" s="8"/>
      <c r="T45" s="3"/>
      <c r="AI45" s="27"/>
      <c r="AJ45" s="27"/>
      <c r="AK45" s="27"/>
      <c r="AL45" s="27"/>
      <c r="AM45" s="27"/>
      <c r="AN45" s="27"/>
      <c r="AO45" s="27"/>
      <c r="AP45" s="27"/>
      <c r="AQ45" s="27"/>
      <c r="AR45" s="28"/>
      <c r="AS45" s="28"/>
      <c r="AT45" s="28"/>
      <c r="AU45" s="28"/>
    </row>
    <row r="46" spans="1:47" ht="20.25">
      <c r="A46" s="54"/>
      <c r="B46" s="86">
        <f>IF(B45&lt;$G$13,B45+1,"")</f>
        <v>2</v>
      </c>
      <c r="C46" s="328">
        <v>42666</v>
      </c>
      <c r="D46" s="326">
        <f t="shared" si="0"/>
        <v>7916.9180263654334</v>
      </c>
      <c r="E46" s="433">
        <f>IF(NOT(B46=AA28),$D$43*(($B$70-(B46-1))/((($B$70+1)/2)*$B$70)),"")</f>
        <v>1981.3124292338116</v>
      </c>
      <c r="F46" s="434"/>
      <c r="G46" s="429">
        <f>IF(NOT(B46=AA31),D46-E46,"")</f>
        <v>5935.6055971316218</v>
      </c>
      <c r="H46" s="430"/>
      <c r="I46" s="338"/>
      <c r="J46" s="339">
        <f t="shared" ref="J46:J69" si="1">J45-G46</f>
        <v>69262.618117485283</v>
      </c>
      <c r="K46" s="135" t="e">
        <f t="shared" ref="K46:K68" si="2">IF(WEEKDAY(L46,2)=1,"Monday",IF(WEEKDAY(L46,2)=2,"Tuesday",IF(WEEKDAY(L46,2)=3,"Wednesday",IF(WEEKDAY(L46,2)=4,"Thursday",IF(WEEKDAY(L46,2)=5,"Friday",IF(WEEKDAY(L46,2)=6,"Saturday",IF(WEEKDAY(L46,2)=7,"Sunday")))))))</f>
        <v>#VALUE!</v>
      </c>
      <c r="L46" s="32" t="str">
        <f t="shared" ref="L46:L68" si="3">IF(PERIOD&lt;&gt;"",IF(DATE(YEAR(L45),MONTH(L45),DAY(L45))&lt;=$L$43,DATE(YEAR(L45),MONTH(L45)+1,DAY(L45)),""),"")</f>
        <v/>
      </c>
      <c r="M46" s="8"/>
      <c r="N46" s="8"/>
      <c r="O46" s="8"/>
      <c r="P46" s="8"/>
      <c r="Q46" s="8"/>
      <c r="T46" s="3"/>
      <c r="AI46" s="27"/>
      <c r="AJ46" s="27"/>
      <c r="AK46" s="27"/>
      <c r="AL46" s="27"/>
      <c r="AM46" s="27"/>
      <c r="AN46" s="27"/>
      <c r="AO46" s="27"/>
      <c r="AP46" s="27"/>
      <c r="AQ46" s="27"/>
      <c r="AR46" s="28"/>
      <c r="AS46" s="28"/>
      <c r="AT46" s="28"/>
      <c r="AU46" s="28"/>
    </row>
    <row r="47" spans="1:47" ht="20.25">
      <c r="A47" s="54"/>
      <c r="B47" s="86">
        <f t="shared" ref="B47:B69" si="4">IF(B46&lt;$G$13,B46+1,"")</f>
        <v>3</v>
      </c>
      <c r="C47" s="328">
        <v>42682</v>
      </c>
      <c r="D47" s="326">
        <f t="shared" si="0"/>
        <v>7916.9180263654334</v>
      </c>
      <c r="E47" s="433">
        <f>IF(NOT(B47=AA31),$D$43*(($B$70-(B47-1))/((($B$70+1)/2)*$B$70)),"")</f>
        <v>1801.193117485283</v>
      </c>
      <c r="F47" s="434"/>
      <c r="G47" s="429">
        <f t="shared" ref="G47:G52" si="5">IF(NOT(B47=AA33),D47-E47,"")</f>
        <v>6115.7249088801509</v>
      </c>
      <c r="H47" s="430"/>
      <c r="I47" s="338"/>
      <c r="J47" s="339">
        <f t="shared" si="1"/>
        <v>63146.893208605135</v>
      </c>
      <c r="K47" s="135" t="e">
        <f t="shared" si="2"/>
        <v>#VALUE!</v>
      </c>
      <c r="L47" s="32" t="e">
        <f t="shared" si="3"/>
        <v>#VALUE!</v>
      </c>
      <c r="M47" s="8"/>
      <c r="N47" s="8"/>
      <c r="O47" s="8"/>
      <c r="P47" s="8"/>
      <c r="Q47" s="8"/>
      <c r="T47" s="3"/>
      <c r="AI47" s="27"/>
      <c r="AJ47" s="27"/>
      <c r="AK47" s="27"/>
      <c r="AL47" s="27"/>
      <c r="AM47" s="27"/>
      <c r="AN47" s="27"/>
      <c r="AO47" s="27"/>
      <c r="AP47" s="27"/>
      <c r="AQ47" s="27"/>
      <c r="AR47" s="28"/>
      <c r="AS47" s="28"/>
      <c r="AT47" s="28"/>
      <c r="AU47" s="28"/>
    </row>
    <row r="48" spans="1:47" ht="20.25">
      <c r="A48" s="54"/>
      <c r="B48" s="86">
        <f t="shared" si="4"/>
        <v>4</v>
      </c>
      <c r="C48" s="328">
        <v>42697</v>
      </c>
      <c r="D48" s="326">
        <f t="shared" si="0"/>
        <v>7916.9180263654334</v>
      </c>
      <c r="E48" s="433">
        <f t="shared" ref="E48:E56" si="6">IF(NOT(B48=AA33),$D$43*(($B$70-(B48-1))/((($B$70+1)/2)*$B$70)),"")</f>
        <v>1621.073805736755</v>
      </c>
      <c r="F48" s="434"/>
      <c r="G48" s="429">
        <f t="shared" si="5"/>
        <v>6295.8442206286782</v>
      </c>
      <c r="H48" s="430"/>
      <c r="I48" s="338"/>
      <c r="J48" s="339">
        <f t="shared" si="1"/>
        <v>56851.048987976457</v>
      </c>
      <c r="K48" s="135" t="e">
        <f t="shared" si="2"/>
        <v>#VALUE!</v>
      </c>
      <c r="L48" s="32" t="e">
        <f t="shared" si="3"/>
        <v>#VALUE!</v>
      </c>
      <c r="M48" s="8"/>
      <c r="N48" s="8"/>
      <c r="O48" s="8"/>
      <c r="P48" s="8"/>
      <c r="Q48" s="8"/>
      <c r="T48" s="3"/>
      <c r="AI48" s="27"/>
      <c r="AJ48" s="27"/>
      <c r="AK48" s="27"/>
      <c r="AL48" s="27"/>
      <c r="AM48" s="27"/>
      <c r="AN48" s="27"/>
      <c r="AO48" s="27"/>
      <c r="AP48" s="27"/>
      <c r="AQ48" s="27"/>
      <c r="AR48" s="28"/>
      <c r="AS48" s="28"/>
      <c r="AT48" s="28"/>
      <c r="AU48" s="28"/>
    </row>
    <row r="49" spans="1:47" ht="20.25">
      <c r="A49" s="54"/>
      <c r="B49" s="86">
        <f t="shared" si="4"/>
        <v>5</v>
      </c>
      <c r="C49" s="328">
        <v>42712</v>
      </c>
      <c r="D49" s="326">
        <f t="shared" si="0"/>
        <v>7916.9180263654334</v>
      </c>
      <c r="E49" s="433">
        <f t="shared" si="6"/>
        <v>1440.9544939882267</v>
      </c>
      <c r="F49" s="434"/>
      <c r="G49" s="429">
        <f t="shared" si="5"/>
        <v>6475.9635323772072</v>
      </c>
      <c r="H49" s="430"/>
      <c r="I49" s="338"/>
      <c r="J49" s="339">
        <f t="shared" si="1"/>
        <v>50375.085455599248</v>
      </c>
      <c r="K49" s="135" t="e">
        <f t="shared" si="2"/>
        <v>#VALUE!</v>
      </c>
      <c r="L49" s="32" t="e">
        <f t="shared" si="3"/>
        <v>#VALUE!</v>
      </c>
      <c r="M49" s="8"/>
      <c r="N49" s="8"/>
      <c r="O49" s="8"/>
      <c r="P49" s="8"/>
      <c r="Q49" s="8"/>
      <c r="T49" s="3"/>
      <c r="AI49" s="27"/>
      <c r="AJ49" s="27"/>
      <c r="AK49" s="27"/>
      <c r="AL49" s="27"/>
      <c r="AM49" s="27"/>
      <c r="AN49" s="27"/>
      <c r="AO49" s="27"/>
      <c r="AP49" s="27"/>
      <c r="AQ49" s="27"/>
      <c r="AR49" s="28"/>
      <c r="AS49" s="28"/>
      <c r="AT49" s="28"/>
      <c r="AU49" s="28"/>
    </row>
    <row r="50" spans="1:47" ht="20.25">
      <c r="A50" s="54"/>
      <c r="B50" s="86">
        <f t="shared" si="4"/>
        <v>6</v>
      </c>
      <c r="C50" s="328">
        <v>42727</v>
      </c>
      <c r="D50" s="326">
        <f t="shared" si="0"/>
        <v>7916.9180263654334</v>
      </c>
      <c r="E50" s="433">
        <f t="shared" si="6"/>
        <v>1260.8351822396983</v>
      </c>
      <c r="F50" s="434"/>
      <c r="G50" s="429">
        <f t="shared" si="5"/>
        <v>6656.0828441257354</v>
      </c>
      <c r="H50" s="430"/>
      <c r="I50" s="338"/>
      <c r="J50" s="339">
        <f t="shared" si="1"/>
        <v>43719.002611473516</v>
      </c>
      <c r="K50" s="135" t="e">
        <f t="shared" si="2"/>
        <v>#VALUE!</v>
      </c>
      <c r="L50" s="32" t="e">
        <f t="shared" si="3"/>
        <v>#VALUE!</v>
      </c>
      <c r="M50" s="8"/>
      <c r="N50" s="8"/>
      <c r="O50" s="8"/>
      <c r="P50" s="8"/>
      <c r="Q50" s="8"/>
      <c r="T50" s="3"/>
      <c r="AI50" s="27"/>
      <c r="AJ50" s="27"/>
      <c r="AK50" s="27"/>
      <c r="AL50" s="27"/>
      <c r="AM50" s="27"/>
      <c r="AN50" s="27"/>
      <c r="AO50" s="27"/>
      <c r="AP50" s="27"/>
      <c r="AQ50" s="27"/>
      <c r="AR50" s="28"/>
      <c r="AS50" s="28"/>
      <c r="AT50" s="28"/>
      <c r="AU50" s="28"/>
    </row>
    <row r="51" spans="1:47" ht="20.25">
      <c r="A51" s="54"/>
      <c r="B51" s="86">
        <f t="shared" si="4"/>
        <v>7</v>
      </c>
      <c r="C51" s="328">
        <f>'Semi Monthly -client copy'!B52</f>
        <v>42750</v>
      </c>
      <c r="D51" s="326">
        <f t="shared" si="0"/>
        <v>7916.9180263654334</v>
      </c>
      <c r="E51" s="433">
        <f t="shared" si="6"/>
        <v>1080.7158704911701</v>
      </c>
      <c r="F51" s="434"/>
      <c r="G51" s="429">
        <f t="shared" si="5"/>
        <v>6836.2021558742636</v>
      </c>
      <c r="H51" s="430"/>
      <c r="I51" s="338"/>
      <c r="J51" s="339">
        <f t="shared" si="1"/>
        <v>36882.800455599252</v>
      </c>
      <c r="K51" s="135" t="e">
        <f t="shared" si="2"/>
        <v>#VALUE!</v>
      </c>
      <c r="L51" s="32" t="e">
        <f t="shared" si="3"/>
        <v>#VALUE!</v>
      </c>
      <c r="M51" s="8"/>
      <c r="N51" s="8"/>
      <c r="O51" s="8"/>
      <c r="P51" s="8"/>
      <c r="Q51" s="8"/>
      <c r="T51" s="3"/>
      <c r="AI51" s="27"/>
      <c r="AJ51" s="27"/>
      <c r="AK51" s="27"/>
      <c r="AL51" s="27"/>
      <c r="AM51" s="27"/>
      <c r="AN51" s="27"/>
      <c r="AO51" s="27"/>
      <c r="AP51" s="27"/>
      <c r="AQ51" s="27"/>
      <c r="AR51" s="28"/>
      <c r="AS51" s="28"/>
      <c r="AT51" s="28"/>
      <c r="AU51" s="28"/>
    </row>
    <row r="52" spans="1:47" ht="20.25">
      <c r="A52" s="54"/>
      <c r="B52" s="86">
        <f t="shared" si="4"/>
        <v>8</v>
      </c>
      <c r="C52" s="328">
        <f>'Semi Monthly -client copy'!B53</f>
        <v>42765</v>
      </c>
      <c r="D52" s="326">
        <f t="shared" si="0"/>
        <v>7916.9180263654334</v>
      </c>
      <c r="E52" s="433">
        <f t="shared" si="6"/>
        <v>900.59655874264149</v>
      </c>
      <c r="F52" s="434"/>
      <c r="G52" s="429">
        <f t="shared" si="5"/>
        <v>7016.3214676227917</v>
      </c>
      <c r="H52" s="430"/>
      <c r="I52" s="338"/>
      <c r="J52" s="339">
        <f t="shared" si="1"/>
        <v>29866.478987976461</v>
      </c>
      <c r="K52" s="135" t="e">
        <f t="shared" si="2"/>
        <v>#VALUE!</v>
      </c>
      <c r="L52" s="32" t="e">
        <f>IF(PERIOD&lt;&gt;"",IF(DATE(YEAR(L51),MONTH(L51),DAY(L51))&lt;=$L$43,DATE(YEAR(L51),MONTH(L51)+1,DAY(L51)),""),"")</f>
        <v>#VALUE!</v>
      </c>
      <c r="M52" s="8"/>
      <c r="N52" s="8"/>
      <c r="O52" s="8"/>
      <c r="P52" s="8"/>
      <c r="Q52" s="8"/>
      <c r="T52" s="3"/>
      <c r="AI52" s="27"/>
      <c r="AJ52" s="27"/>
      <c r="AK52" s="27"/>
      <c r="AL52" s="27"/>
      <c r="AM52" s="27"/>
      <c r="AN52" s="27"/>
      <c r="AO52" s="27"/>
      <c r="AP52" s="27"/>
      <c r="AQ52" s="27"/>
      <c r="AR52" s="28"/>
      <c r="AS52" s="28"/>
      <c r="AT52" s="28"/>
      <c r="AU52" s="28"/>
    </row>
    <row r="53" spans="1:47" ht="20.25">
      <c r="A53" s="54"/>
      <c r="B53" s="86">
        <f t="shared" si="4"/>
        <v>9</v>
      </c>
      <c r="C53" s="328">
        <f>'Semi Monthly -client copy'!B54</f>
        <v>42781</v>
      </c>
      <c r="D53" s="326">
        <f t="shared" si="0"/>
        <v>7916.9180263654334</v>
      </c>
      <c r="E53" s="433">
        <f t="shared" si="6"/>
        <v>720.47724699411333</v>
      </c>
      <c r="F53" s="434"/>
      <c r="G53" s="429">
        <f t="shared" ref="G53:G55" si="7">IF(NOT(B53=AA39),D53-E53,"")</f>
        <v>7196.4407793713199</v>
      </c>
      <c r="H53" s="430"/>
      <c r="I53" s="338"/>
      <c r="J53" s="339">
        <f t="shared" si="1"/>
        <v>22670.03820860514</v>
      </c>
      <c r="K53" s="135" t="e">
        <f t="shared" si="2"/>
        <v>#VALUE!</v>
      </c>
      <c r="L53" s="32" t="e">
        <f t="shared" si="3"/>
        <v>#VALUE!</v>
      </c>
      <c r="M53" s="8"/>
      <c r="N53" s="8"/>
      <c r="O53" s="8"/>
      <c r="P53" s="8"/>
      <c r="Q53" s="8"/>
      <c r="T53" s="33"/>
      <c r="AI53" s="27"/>
      <c r="AJ53" s="27"/>
      <c r="AK53" s="27"/>
      <c r="AL53" s="27"/>
      <c r="AM53" s="27"/>
      <c r="AN53" s="27"/>
      <c r="AO53" s="27"/>
      <c r="AP53" s="27"/>
      <c r="AQ53" s="27"/>
      <c r="AR53" s="28"/>
      <c r="AS53" s="28"/>
      <c r="AT53" s="28"/>
      <c r="AU53" s="28"/>
    </row>
    <row r="54" spans="1:47" ht="20.25">
      <c r="A54" s="54"/>
      <c r="B54" s="86">
        <f t="shared" si="4"/>
        <v>10</v>
      </c>
      <c r="C54" s="328">
        <f>'Semi Monthly -client copy'!B55</f>
        <v>42794</v>
      </c>
      <c r="D54" s="326">
        <f t="shared" si="0"/>
        <v>7916.9180263654334</v>
      </c>
      <c r="E54" s="433">
        <f t="shared" si="6"/>
        <v>540.35793524558505</v>
      </c>
      <c r="F54" s="434"/>
      <c r="G54" s="429">
        <f t="shared" si="7"/>
        <v>7376.560091119848</v>
      </c>
      <c r="H54" s="430"/>
      <c r="I54" s="338"/>
      <c r="J54" s="339">
        <f t="shared" si="1"/>
        <v>15293.478117485291</v>
      </c>
      <c r="K54" s="135" t="e">
        <f t="shared" si="2"/>
        <v>#VALUE!</v>
      </c>
      <c r="L54" s="32" t="e">
        <f t="shared" si="3"/>
        <v>#VALUE!</v>
      </c>
      <c r="M54" s="8"/>
      <c r="N54" s="8"/>
      <c r="O54" s="8"/>
      <c r="P54" s="8"/>
      <c r="Q54" s="8"/>
      <c r="T54" s="3"/>
      <c r="AI54" s="27"/>
      <c r="AJ54" s="27"/>
      <c r="AK54" s="27"/>
      <c r="AL54" s="27"/>
      <c r="AM54" s="27"/>
      <c r="AN54" s="27"/>
      <c r="AO54" s="27"/>
      <c r="AP54" s="27"/>
      <c r="AQ54" s="27"/>
      <c r="AR54" s="28"/>
      <c r="AS54" s="28"/>
      <c r="AT54" s="28"/>
      <c r="AU54" s="28"/>
    </row>
    <row r="55" spans="1:47" ht="20.25">
      <c r="A55" s="54"/>
      <c r="B55" s="86">
        <f t="shared" si="4"/>
        <v>11</v>
      </c>
      <c r="C55" s="328">
        <f>'Semi Monthly -client copy'!B56</f>
        <v>42809</v>
      </c>
      <c r="D55" s="326">
        <f t="shared" si="0"/>
        <v>7916.9180263654334</v>
      </c>
      <c r="E55" s="433">
        <f t="shared" si="6"/>
        <v>360.23862349705666</v>
      </c>
      <c r="F55" s="434"/>
      <c r="G55" s="429">
        <f t="shared" si="7"/>
        <v>7556.6794028683771</v>
      </c>
      <c r="H55" s="430"/>
      <c r="I55" s="338"/>
      <c r="J55" s="339">
        <f t="shared" si="1"/>
        <v>7736.7987146169135</v>
      </c>
      <c r="K55" s="135" t="e">
        <f t="shared" si="2"/>
        <v>#VALUE!</v>
      </c>
      <c r="L55" s="32" t="e">
        <f t="shared" si="3"/>
        <v>#VALUE!</v>
      </c>
      <c r="M55" s="8"/>
      <c r="N55" s="8"/>
      <c r="O55" s="8"/>
      <c r="P55" s="8"/>
      <c r="Q55" s="8"/>
      <c r="T55" s="3"/>
      <c r="AI55" s="27"/>
      <c r="AJ55" s="27"/>
      <c r="AK55" s="27"/>
      <c r="AL55" s="27"/>
      <c r="AM55" s="27"/>
      <c r="AN55" s="27"/>
      <c r="AO55" s="27"/>
      <c r="AP55" s="27"/>
      <c r="AQ55" s="27"/>
      <c r="AR55" s="28"/>
      <c r="AS55" s="28"/>
      <c r="AT55" s="28"/>
      <c r="AU55" s="28"/>
    </row>
    <row r="56" spans="1:47" ht="20.25">
      <c r="A56" s="54"/>
      <c r="B56" s="86">
        <f t="shared" si="4"/>
        <v>12</v>
      </c>
      <c r="C56" s="328">
        <f>'Semi Monthly -client copy'!B57</f>
        <v>42824</v>
      </c>
      <c r="D56" s="326">
        <f t="shared" si="0"/>
        <v>7916.9180263654334</v>
      </c>
      <c r="E56" s="433">
        <f t="shared" si="6"/>
        <v>180.11931174852833</v>
      </c>
      <c r="F56" s="434"/>
      <c r="G56" s="429">
        <f>IF(NOT(B56=AB42),D56-E56,"")</f>
        <v>7736.7987146169053</v>
      </c>
      <c r="H56" s="430"/>
      <c r="I56" s="338"/>
      <c r="J56" s="339">
        <f t="shared" si="1"/>
        <v>8.1854523159563541E-12</v>
      </c>
      <c r="K56" s="135" t="e">
        <f t="shared" si="2"/>
        <v>#VALUE!</v>
      </c>
      <c r="L56" s="32" t="e">
        <f t="shared" si="3"/>
        <v>#VALUE!</v>
      </c>
      <c r="M56" s="8"/>
      <c r="N56" s="8"/>
      <c r="O56" s="8"/>
      <c r="P56" s="8"/>
      <c r="Q56" s="8"/>
      <c r="T56" s="3"/>
      <c r="AI56" s="27"/>
      <c r="AJ56" s="27"/>
      <c r="AK56" s="27"/>
      <c r="AL56" s="27"/>
      <c r="AM56" s="27"/>
      <c r="AN56" s="27"/>
      <c r="AO56" s="27"/>
      <c r="AP56" s="27"/>
      <c r="AQ56" s="27"/>
      <c r="AR56" s="28"/>
      <c r="AS56" s="28"/>
      <c r="AT56" s="28"/>
      <c r="AU56" s="28"/>
    </row>
    <row r="57" spans="1:47" ht="20.25">
      <c r="A57" s="54"/>
      <c r="B57" s="86" t="str">
        <f t="shared" si="4"/>
        <v/>
      </c>
      <c r="C57" s="328"/>
      <c r="D57" s="326" t="str">
        <f t="shared" si="0"/>
        <v/>
      </c>
      <c r="E57" s="433" t="str">
        <f>IF(NOT(B57=AB42),$D$43*(($B$70-(B57-1))/((($B$70+1)/2)*$B$70)),"")</f>
        <v/>
      </c>
      <c r="F57" s="434"/>
      <c r="G57" s="429" t="str">
        <f>IF(NOT(B57=AB43),D57-F57,"")</f>
        <v/>
      </c>
      <c r="H57" s="430"/>
      <c r="I57" s="338"/>
      <c r="J57" s="339" t="e">
        <f t="shared" si="1"/>
        <v>#VALUE!</v>
      </c>
      <c r="K57" s="135" t="e">
        <f t="shared" si="2"/>
        <v>#VALUE!</v>
      </c>
      <c r="L57" s="32" t="str">
        <f t="shared" si="3"/>
        <v/>
      </c>
      <c r="M57" s="8"/>
      <c r="N57" s="8"/>
      <c r="O57" s="8"/>
      <c r="P57" s="8"/>
      <c r="T57" s="3"/>
      <c r="AI57" s="27"/>
      <c r="AJ57" s="27"/>
      <c r="AK57" s="27"/>
      <c r="AL57" s="27"/>
      <c r="AM57" s="27"/>
      <c r="AN57" s="27"/>
      <c r="AO57" s="27"/>
      <c r="AP57" s="27"/>
      <c r="AQ57" s="27"/>
      <c r="AR57" s="28"/>
      <c r="AS57" s="28"/>
      <c r="AT57" s="28"/>
    </row>
    <row r="58" spans="1:47" ht="20.25">
      <c r="A58" s="54"/>
      <c r="B58" s="86" t="str">
        <f t="shared" si="4"/>
        <v/>
      </c>
      <c r="C58" s="328"/>
      <c r="D58" s="326" t="str">
        <f t="shared" si="0"/>
        <v/>
      </c>
      <c r="E58" s="433" t="str">
        <f>IF(NOT(B58=AB43),$D$43*(($B$70-(B58-1))/((($B$70+1)/2)*$B$70)),"")</f>
        <v/>
      </c>
      <c r="F58" s="434"/>
      <c r="G58" s="429" t="str">
        <f t="shared" ref="G58:G68" si="8">IF(NOT(B58=M44),D58-F58,"")</f>
        <v/>
      </c>
      <c r="H58" s="430"/>
      <c r="I58" s="338"/>
      <c r="J58" s="339" t="e">
        <f t="shared" si="1"/>
        <v>#VALUE!</v>
      </c>
      <c r="K58" s="135" t="e">
        <f t="shared" si="2"/>
        <v>#VALUE!</v>
      </c>
      <c r="L58" s="32" t="str">
        <f t="shared" si="3"/>
        <v/>
      </c>
      <c r="M58" s="8"/>
      <c r="N58" s="8"/>
      <c r="O58" s="8"/>
      <c r="P58" s="8"/>
      <c r="T58" s="3"/>
      <c r="AI58" s="27"/>
      <c r="AJ58" s="27"/>
      <c r="AK58" s="27"/>
      <c r="AL58" s="27"/>
      <c r="AM58" s="27"/>
      <c r="AN58" s="27"/>
      <c r="AO58" s="27"/>
      <c r="AP58" s="27"/>
      <c r="AQ58" s="27"/>
      <c r="AR58" s="28"/>
      <c r="AS58" s="28"/>
      <c r="AT58" s="28"/>
    </row>
    <row r="59" spans="1:47" ht="20.25">
      <c r="A59" s="54"/>
      <c r="B59" s="86" t="str">
        <f t="shared" si="4"/>
        <v/>
      </c>
      <c r="C59" s="328"/>
      <c r="D59" s="326" t="str">
        <f t="shared" si="0"/>
        <v/>
      </c>
      <c r="E59" s="433" t="str">
        <f t="shared" ref="E59:E68" si="9">IF(NOT(B59=M44),$D$43*(($B$70-(B59-1))/((($B$70+1)/2)*$B$70)),"")</f>
        <v/>
      </c>
      <c r="F59" s="434"/>
      <c r="G59" s="429" t="str">
        <f t="shared" si="8"/>
        <v/>
      </c>
      <c r="H59" s="430"/>
      <c r="I59" s="338"/>
      <c r="J59" s="339" t="e">
        <f t="shared" si="1"/>
        <v>#VALUE!</v>
      </c>
      <c r="K59" s="135" t="e">
        <f t="shared" si="2"/>
        <v>#VALUE!</v>
      </c>
      <c r="L59" s="32" t="str">
        <f t="shared" si="3"/>
        <v/>
      </c>
      <c r="M59" s="8"/>
      <c r="N59" s="8"/>
      <c r="O59" s="8"/>
      <c r="P59" s="8"/>
      <c r="T59" s="3"/>
      <c r="AI59" s="27"/>
      <c r="AJ59" s="27"/>
      <c r="AK59" s="27"/>
      <c r="AL59" s="27"/>
      <c r="AM59" s="27"/>
      <c r="AN59" s="27"/>
      <c r="AO59" s="27"/>
      <c r="AP59" s="27"/>
      <c r="AQ59" s="27"/>
      <c r="AR59" s="28"/>
      <c r="AS59" s="28"/>
      <c r="AT59" s="28"/>
    </row>
    <row r="60" spans="1:47" ht="20.25">
      <c r="A60" s="54"/>
      <c r="B60" s="86" t="str">
        <f t="shared" si="4"/>
        <v/>
      </c>
      <c r="C60" s="328"/>
      <c r="D60" s="326" t="str">
        <f t="shared" si="0"/>
        <v/>
      </c>
      <c r="E60" s="433" t="str">
        <f t="shared" si="9"/>
        <v/>
      </c>
      <c r="F60" s="434"/>
      <c r="G60" s="429" t="str">
        <f t="shared" si="8"/>
        <v/>
      </c>
      <c r="H60" s="430"/>
      <c r="I60" s="338"/>
      <c r="J60" s="339" t="e">
        <f t="shared" si="1"/>
        <v>#VALUE!</v>
      </c>
      <c r="K60" s="135" t="e">
        <f t="shared" si="2"/>
        <v>#VALUE!</v>
      </c>
      <c r="L60" s="32" t="str">
        <f t="shared" si="3"/>
        <v/>
      </c>
      <c r="M60" s="8"/>
      <c r="N60" s="8"/>
      <c r="O60" s="8"/>
      <c r="P60" s="8"/>
      <c r="T60" s="3"/>
      <c r="AI60" s="27"/>
      <c r="AJ60" s="27"/>
      <c r="AK60" s="27"/>
      <c r="AL60" s="27"/>
      <c r="AM60" s="27"/>
      <c r="AN60" s="27"/>
      <c r="AO60" s="27"/>
      <c r="AP60" s="27"/>
      <c r="AQ60" s="27"/>
      <c r="AR60" s="28"/>
      <c r="AS60" s="28"/>
      <c r="AT60" s="28"/>
    </row>
    <row r="61" spans="1:47" ht="20.25">
      <c r="A61" s="54"/>
      <c r="B61" s="86" t="str">
        <f t="shared" si="4"/>
        <v/>
      </c>
      <c r="C61" s="328"/>
      <c r="D61" s="326" t="str">
        <f t="shared" si="0"/>
        <v/>
      </c>
      <c r="E61" s="433" t="str">
        <f t="shared" si="9"/>
        <v/>
      </c>
      <c r="F61" s="434"/>
      <c r="G61" s="429" t="str">
        <f t="shared" si="8"/>
        <v/>
      </c>
      <c r="H61" s="430"/>
      <c r="I61" s="338"/>
      <c r="J61" s="339" t="e">
        <f t="shared" si="1"/>
        <v>#VALUE!</v>
      </c>
      <c r="K61" s="135" t="e">
        <f t="shared" si="2"/>
        <v>#VALUE!</v>
      </c>
      <c r="L61" s="32" t="str">
        <f t="shared" si="3"/>
        <v/>
      </c>
      <c r="M61" s="8"/>
      <c r="N61" s="8"/>
      <c r="O61" s="8"/>
      <c r="P61" s="8"/>
      <c r="T61" s="3"/>
      <c r="AI61" s="27"/>
      <c r="AJ61" s="27"/>
      <c r="AK61" s="27"/>
      <c r="AL61" s="27"/>
      <c r="AM61" s="27"/>
      <c r="AN61" s="27"/>
      <c r="AO61" s="27"/>
      <c r="AP61" s="27"/>
      <c r="AQ61" s="27"/>
      <c r="AR61" s="28"/>
      <c r="AS61" s="28"/>
      <c r="AT61" s="28"/>
    </row>
    <row r="62" spans="1:47" ht="20.25">
      <c r="A62" s="54"/>
      <c r="B62" s="86" t="str">
        <f t="shared" si="4"/>
        <v/>
      </c>
      <c r="C62" s="328"/>
      <c r="D62" s="326" t="str">
        <f t="shared" si="0"/>
        <v/>
      </c>
      <c r="E62" s="433" t="str">
        <f t="shared" si="9"/>
        <v/>
      </c>
      <c r="F62" s="434"/>
      <c r="G62" s="429" t="str">
        <f t="shared" si="8"/>
        <v/>
      </c>
      <c r="H62" s="430"/>
      <c r="I62" s="338"/>
      <c r="J62" s="339" t="e">
        <f t="shared" si="1"/>
        <v>#VALUE!</v>
      </c>
      <c r="K62" s="135" t="e">
        <f t="shared" si="2"/>
        <v>#VALUE!</v>
      </c>
      <c r="L62" s="32" t="str">
        <f t="shared" si="3"/>
        <v/>
      </c>
      <c r="M62" s="8"/>
      <c r="N62" s="8"/>
      <c r="O62" s="8"/>
      <c r="P62" s="8"/>
      <c r="T62" s="3"/>
      <c r="AI62" s="27"/>
      <c r="AJ62" s="27"/>
      <c r="AK62" s="27"/>
      <c r="AL62" s="27"/>
      <c r="AM62" s="27"/>
      <c r="AN62" s="27"/>
      <c r="AO62" s="27"/>
      <c r="AP62" s="27"/>
      <c r="AQ62" s="27"/>
      <c r="AR62" s="28"/>
      <c r="AS62" s="28"/>
      <c r="AT62" s="28"/>
    </row>
    <row r="63" spans="1:47" ht="20.25">
      <c r="A63" s="54"/>
      <c r="B63" s="86" t="str">
        <f t="shared" si="4"/>
        <v/>
      </c>
      <c r="C63" s="328"/>
      <c r="D63" s="326" t="str">
        <f t="shared" si="0"/>
        <v/>
      </c>
      <c r="E63" s="433" t="str">
        <f t="shared" si="9"/>
        <v/>
      </c>
      <c r="F63" s="434"/>
      <c r="G63" s="429" t="str">
        <f t="shared" si="8"/>
        <v/>
      </c>
      <c r="H63" s="430"/>
      <c r="I63" s="338"/>
      <c r="J63" s="339" t="e">
        <f t="shared" si="1"/>
        <v>#VALUE!</v>
      </c>
      <c r="K63" s="135" t="e">
        <f t="shared" si="2"/>
        <v>#VALUE!</v>
      </c>
      <c r="L63" s="32" t="str">
        <f t="shared" si="3"/>
        <v/>
      </c>
      <c r="M63" s="8"/>
      <c r="N63" s="8"/>
      <c r="O63" s="8"/>
      <c r="P63" s="8"/>
      <c r="T63" s="3"/>
      <c r="AI63" s="27"/>
      <c r="AJ63" s="27"/>
      <c r="AK63" s="27"/>
      <c r="AL63" s="27"/>
      <c r="AM63" s="27"/>
      <c r="AN63" s="27"/>
      <c r="AO63" s="27"/>
      <c r="AP63" s="27"/>
      <c r="AQ63" s="27"/>
      <c r="AR63" s="28"/>
      <c r="AS63" s="28"/>
      <c r="AT63" s="28"/>
    </row>
    <row r="64" spans="1:47" ht="20.25">
      <c r="A64" s="54"/>
      <c r="B64" s="86" t="str">
        <f t="shared" si="4"/>
        <v/>
      </c>
      <c r="C64" s="328"/>
      <c r="D64" s="326" t="str">
        <f t="shared" si="0"/>
        <v/>
      </c>
      <c r="E64" s="433" t="str">
        <f t="shared" si="9"/>
        <v/>
      </c>
      <c r="F64" s="434"/>
      <c r="G64" s="429" t="str">
        <f t="shared" si="8"/>
        <v/>
      </c>
      <c r="H64" s="430"/>
      <c r="I64" s="338"/>
      <c r="J64" s="339" t="e">
        <f t="shared" si="1"/>
        <v>#VALUE!</v>
      </c>
      <c r="K64" s="135" t="e">
        <f t="shared" si="2"/>
        <v>#VALUE!</v>
      </c>
      <c r="L64" s="32" t="str">
        <f t="shared" si="3"/>
        <v/>
      </c>
      <c r="M64" s="8"/>
      <c r="N64" s="8"/>
      <c r="O64" s="8"/>
      <c r="P64" s="8"/>
      <c r="T64" s="3"/>
      <c r="AI64" s="27"/>
      <c r="AJ64" s="27"/>
      <c r="AK64" s="27"/>
      <c r="AL64" s="27"/>
      <c r="AM64" s="27"/>
      <c r="AN64" s="27"/>
      <c r="AO64" s="27"/>
      <c r="AP64" s="27"/>
      <c r="AQ64" s="27"/>
      <c r="AR64" s="28"/>
      <c r="AS64" s="28"/>
      <c r="AT64" s="28"/>
    </row>
    <row r="65" spans="1:46" ht="20.25">
      <c r="A65" s="54"/>
      <c r="B65" s="86" t="str">
        <f t="shared" si="4"/>
        <v/>
      </c>
      <c r="C65" s="328"/>
      <c r="D65" s="326" t="str">
        <f t="shared" si="0"/>
        <v/>
      </c>
      <c r="E65" s="433" t="str">
        <f t="shared" si="9"/>
        <v/>
      </c>
      <c r="F65" s="434"/>
      <c r="G65" s="429" t="str">
        <f t="shared" si="8"/>
        <v/>
      </c>
      <c r="H65" s="430"/>
      <c r="I65" s="338"/>
      <c r="J65" s="339" t="e">
        <f t="shared" si="1"/>
        <v>#VALUE!</v>
      </c>
      <c r="K65" s="135" t="e">
        <f t="shared" si="2"/>
        <v>#VALUE!</v>
      </c>
      <c r="L65" s="32" t="str">
        <f t="shared" si="3"/>
        <v/>
      </c>
      <c r="M65" s="8"/>
      <c r="N65" s="8"/>
      <c r="O65" s="8"/>
      <c r="P65" s="8"/>
      <c r="T65" s="3"/>
      <c r="AI65" s="27"/>
      <c r="AJ65" s="27"/>
      <c r="AK65" s="27"/>
      <c r="AL65" s="27"/>
      <c r="AM65" s="27"/>
      <c r="AN65" s="27"/>
      <c r="AO65" s="27"/>
      <c r="AP65" s="27"/>
      <c r="AQ65" s="27"/>
      <c r="AR65" s="28"/>
      <c r="AS65" s="28"/>
      <c r="AT65" s="28"/>
    </row>
    <row r="66" spans="1:46" ht="20.25">
      <c r="A66" s="54"/>
      <c r="B66" s="86" t="str">
        <f t="shared" si="4"/>
        <v/>
      </c>
      <c r="C66" s="328"/>
      <c r="D66" s="326" t="str">
        <f t="shared" si="0"/>
        <v/>
      </c>
      <c r="E66" s="433" t="str">
        <f t="shared" si="9"/>
        <v/>
      </c>
      <c r="F66" s="434"/>
      <c r="G66" s="429" t="str">
        <f t="shared" si="8"/>
        <v/>
      </c>
      <c r="H66" s="430"/>
      <c r="I66" s="338"/>
      <c r="J66" s="339" t="e">
        <f t="shared" si="1"/>
        <v>#VALUE!</v>
      </c>
      <c r="K66" s="135" t="e">
        <f t="shared" si="2"/>
        <v>#VALUE!</v>
      </c>
      <c r="L66" s="32" t="str">
        <f t="shared" si="3"/>
        <v/>
      </c>
      <c r="M66" s="8"/>
      <c r="N66" s="8"/>
      <c r="O66" s="8"/>
      <c r="P66" s="8"/>
      <c r="T66" s="3"/>
      <c r="AI66" s="27"/>
      <c r="AJ66" s="27"/>
      <c r="AK66" s="27"/>
      <c r="AL66" s="27"/>
      <c r="AM66" s="27"/>
      <c r="AN66" s="27"/>
      <c r="AO66" s="27"/>
      <c r="AP66" s="27"/>
      <c r="AQ66" s="27"/>
      <c r="AR66" s="28"/>
      <c r="AS66" s="28"/>
      <c r="AT66" s="28"/>
    </row>
    <row r="67" spans="1:46" ht="20.25">
      <c r="A67" s="54"/>
      <c r="B67" s="86" t="str">
        <f t="shared" si="4"/>
        <v/>
      </c>
      <c r="C67" s="328"/>
      <c r="D67" s="326" t="str">
        <f t="shared" si="0"/>
        <v/>
      </c>
      <c r="E67" s="433" t="str">
        <f t="shared" si="9"/>
        <v/>
      </c>
      <c r="F67" s="434"/>
      <c r="G67" s="429" t="str">
        <f t="shared" si="8"/>
        <v/>
      </c>
      <c r="H67" s="430"/>
      <c r="I67" s="338"/>
      <c r="J67" s="339" t="e">
        <f t="shared" si="1"/>
        <v>#VALUE!</v>
      </c>
      <c r="K67" s="135" t="e">
        <f t="shared" si="2"/>
        <v>#VALUE!</v>
      </c>
      <c r="L67" s="32" t="str">
        <f t="shared" si="3"/>
        <v/>
      </c>
      <c r="M67" s="8"/>
      <c r="N67" s="8"/>
      <c r="O67" s="8"/>
      <c r="P67" s="8"/>
      <c r="T67" s="3"/>
      <c r="AI67" s="27"/>
      <c r="AJ67" s="27"/>
      <c r="AK67" s="27"/>
      <c r="AL67" s="27"/>
      <c r="AM67" s="27"/>
      <c r="AN67" s="27"/>
      <c r="AO67" s="27"/>
      <c r="AP67" s="27"/>
      <c r="AQ67" s="27"/>
      <c r="AR67" s="28"/>
      <c r="AS67" s="28"/>
      <c r="AT67" s="28"/>
    </row>
    <row r="68" spans="1:46" ht="20.25">
      <c r="A68" s="54"/>
      <c r="B68" s="86" t="str">
        <f t="shared" si="4"/>
        <v/>
      </c>
      <c r="C68" s="328"/>
      <c r="D68" s="326" t="str">
        <f t="shared" si="0"/>
        <v/>
      </c>
      <c r="E68" s="433" t="str">
        <f t="shared" si="9"/>
        <v/>
      </c>
      <c r="F68" s="434"/>
      <c r="G68" s="429" t="str">
        <f t="shared" si="8"/>
        <v/>
      </c>
      <c r="H68" s="430"/>
      <c r="I68" s="338"/>
      <c r="J68" s="339" t="e">
        <f t="shared" si="1"/>
        <v>#VALUE!</v>
      </c>
      <c r="K68" s="135" t="e">
        <f t="shared" si="2"/>
        <v>#VALUE!</v>
      </c>
      <c r="L68" s="32" t="str">
        <f t="shared" si="3"/>
        <v/>
      </c>
      <c r="M68" s="8"/>
      <c r="N68" s="8"/>
      <c r="O68" s="8"/>
      <c r="P68" s="8"/>
      <c r="T68" s="3"/>
      <c r="AI68" s="27"/>
      <c r="AJ68" s="27"/>
      <c r="AK68" s="27"/>
      <c r="AL68" s="27"/>
      <c r="AM68" s="27"/>
      <c r="AN68" s="27"/>
      <c r="AO68" s="27"/>
      <c r="AP68" s="27"/>
      <c r="AQ68" s="27"/>
      <c r="AR68" s="28"/>
      <c r="AS68" s="28"/>
      <c r="AT68" s="28"/>
    </row>
    <row r="69" spans="1:46" ht="20.25">
      <c r="A69" s="54"/>
      <c r="B69" s="86" t="str">
        <f t="shared" si="4"/>
        <v/>
      </c>
      <c r="C69" s="328"/>
      <c r="D69" s="326" t="str">
        <f t="shared" si="0"/>
        <v/>
      </c>
      <c r="E69" s="433" t="str">
        <f>IF(NOT(B69=M45),$D$43*(($B$70-(B69-1))/((($B$70+1)/2)*$B$70)),"")</f>
        <v/>
      </c>
      <c r="F69" s="434"/>
      <c r="G69" s="442" t="str">
        <f>IF(NOT(B69=M46),D69-F69,"")</f>
        <v/>
      </c>
      <c r="H69" s="443"/>
      <c r="I69" s="338"/>
      <c r="J69" s="339" t="e">
        <f t="shared" si="1"/>
        <v>#VALUE!</v>
      </c>
      <c r="K69" s="135"/>
      <c r="L69" s="32" t="str">
        <f>IF(PERIOD&lt;&gt;"",IF(DATE(YEAR(L59),MONTH(L59),DAY(L59))&lt;=$L$43,DATE(YEAR(L59),MONTH(L59)+1,DAY(L59)),""),"")</f>
        <v/>
      </c>
      <c r="M69" s="8"/>
      <c r="N69" s="8"/>
      <c r="O69" s="8"/>
      <c r="P69" s="8"/>
      <c r="T69" s="3"/>
      <c r="AI69" s="27"/>
      <c r="AJ69" s="27"/>
      <c r="AK69" s="27"/>
      <c r="AL69" s="27"/>
      <c r="AM69" s="27"/>
      <c r="AN69" s="27"/>
      <c r="AO69" s="27"/>
      <c r="AP69" s="27"/>
      <c r="AQ69" s="27"/>
      <c r="AR69" s="28"/>
      <c r="AS69" s="28"/>
      <c r="AT69" s="28"/>
    </row>
    <row r="70" spans="1:46" ht="20.25">
      <c r="A70" s="54"/>
      <c r="B70" s="98">
        <f>G13</f>
        <v>12</v>
      </c>
      <c r="C70" s="98"/>
      <c r="D70" s="254">
        <f>F43</f>
        <v>95003.016316385198</v>
      </c>
      <c r="E70" s="441">
        <f>SUM(E45:F69)</f>
        <v>14049.306316385211</v>
      </c>
      <c r="F70" s="441"/>
      <c r="G70" s="440">
        <f>SUM(G45:H69)</f>
        <v>80953.709999999992</v>
      </c>
      <c r="H70" s="440"/>
      <c r="I70" s="338"/>
      <c r="J70" s="8"/>
      <c r="K70" s="26"/>
      <c r="L70" s="26"/>
      <c r="M70" s="8"/>
      <c r="N70" s="8"/>
      <c r="O70" s="8"/>
      <c r="P70" s="8"/>
      <c r="T70" s="3"/>
      <c r="AI70" s="27"/>
      <c r="AJ70" s="27"/>
      <c r="AK70" s="27"/>
      <c r="AL70" s="27"/>
      <c r="AM70" s="27"/>
      <c r="AN70" s="27"/>
      <c r="AO70" s="27"/>
      <c r="AP70" s="27"/>
      <c r="AQ70" s="27"/>
      <c r="AR70" s="28"/>
      <c r="AS70" s="28"/>
      <c r="AT70" s="28"/>
    </row>
    <row r="71" spans="1:46" ht="17.25">
      <c r="A71" s="8"/>
      <c r="B71" s="8"/>
      <c r="C71" s="8"/>
      <c r="D71" s="8"/>
      <c r="E71" s="8"/>
      <c r="F71" s="34"/>
      <c r="G71" s="8"/>
      <c r="H71" s="34"/>
      <c r="I71" s="8"/>
      <c r="J71" s="8"/>
      <c r="K71" s="8"/>
      <c r="L71" s="8"/>
      <c r="M71" s="8"/>
      <c r="N71" s="8"/>
      <c r="O71" s="8"/>
      <c r="P71" s="8"/>
      <c r="Q71" s="8"/>
      <c r="R71" s="8"/>
    </row>
    <row r="72" spans="1:46" ht="17.25">
      <c r="A72" s="8"/>
      <c r="B72" s="40" t="s">
        <v>45</v>
      </c>
      <c r="C72" s="8"/>
      <c r="D72" s="8"/>
      <c r="E72" s="8"/>
      <c r="F72" s="8"/>
      <c r="G72" s="438"/>
      <c r="H72" s="438"/>
      <c r="I72" s="8"/>
      <c r="J72" s="8"/>
      <c r="K72" s="8"/>
      <c r="L72" s="8"/>
      <c r="M72" s="8"/>
      <c r="N72" s="8"/>
      <c r="O72" s="8"/>
      <c r="P72" s="8"/>
      <c r="Q72" s="8"/>
      <c r="R72" s="8"/>
    </row>
    <row r="73" spans="1:46" ht="51" customHeight="1">
      <c r="A73" s="8"/>
      <c r="C73" s="8"/>
      <c r="D73" s="8"/>
      <c r="E73" s="8"/>
      <c r="F73" s="436"/>
      <c r="G73" s="436"/>
      <c r="H73" s="436"/>
      <c r="I73" s="8"/>
      <c r="J73" s="8"/>
      <c r="K73" s="8"/>
      <c r="L73" s="8"/>
      <c r="N73" s="8"/>
      <c r="O73" s="8"/>
      <c r="P73" s="8"/>
      <c r="Q73" s="8"/>
      <c r="R73" s="8"/>
    </row>
    <row r="74" spans="1:46" ht="17.25">
      <c r="A74" s="8"/>
      <c r="B74" s="8"/>
      <c r="C74" s="8"/>
      <c r="D74" s="8"/>
      <c r="E74" s="8"/>
      <c r="F74" s="8"/>
      <c r="G74" s="8"/>
      <c r="I74" s="8"/>
      <c r="J74" s="8"/>
      <c r="K74" s="8"/>
      <c r="L74" s="8"/>
      <c r="M74" s="8"/>
      <c r="N74" s="8"/>
      <c r="O74" s="8"/>
      <c r="P74" s="8"/>
      <c r="Q74" s="8"/>
      <c r="R74" s="8"/>
    </row>
    <row r="75" spans="1:46" ht="17.25">
      <c r="A75" s="8"/>
      <c r="C75" s="8"/>
      <c r="D75" s="8"/>
      <c r="E75" s="8"/>
      <c r="F75" s="8"/>
      <c r="G75" s="8"/>
      <c r="H75" s="8"/>
      <c r="I75" s="8"/>
      <c r="J75" s="8"/>
      <c r="K75" s="8"/>
      <c r="L75" s="8"/>
      <c r="M75" s="8"/>
      <c r="N75" s="8"/>
      <c r="O75" s="8"/>
      <c r="P75" s="8"/>
      <c r="Q75" s="8"/>
      <c r="R75" s="8"/>
    </row>
    <row r="76" spans="1:46" ht="17.25">
      <c r="A76" s="10"/>
      <c r="B76" s="10"/>
      <c r="C76" s="10"/>
      <c r="D76" s="10"/>
      <c r="E76" s="10"/>
      <c r="F76" s="10"/>
      <c r="G76" s="10"/>
      <c r="H76" s="10"/>
      <c r="I76" s="10"/>
      <c r="J76" s="10"/>
      <c r="K76" s="8"/>
      <c r="L76" s="8"/>
      <c r="M76" s="8"/>
      <c r="N76" s="8"/>
      <c r="O76" s="8"/>
      <c r="P76" s="8"/>
      <c r="Q76" s="8"/>
      <c r="R76" s="8"/>
    </row>
    <row r="77" spans="1:46" ht="12.75" customHeight="1">
      <c r="A77" s="10"/>
      <c r="C77" s="10"/>
      <c r="D77" s="10"/>
      <c r="E77" s="10"/>
      <c r="F77" s="10"/>
      <c r="G77" s="10"/>
      <c r="H77" s="10"/>
      <c r="I77" s="10"/>
      <c r="J77" s="10"/>
    </row>
    <row r="78" spans="1:46" ht="7.5" customHeight="1">
      <c r="A78" s="10"/>
      <c r="C78" s="10"/>
      <c r="D78" s="10"/>
      <c r="E78" s="10"/>
      <c r="F78" s="10"/>
      <c r="G78" s="10"/>
      <c r="H78" s="10"/>
      <c r="I78" s="10"/>
      <c r="J78" s="10"/>
    </row>
    <row r="79" spans="1:46" ht="12.75" hidden="1" customHeight="1">
      <c r="A79" s="10"/>
      <c r="B79" s="10"/>
      <c r="C79" s="10"/>
      <c r="D79" s="10"/>
      <c r="E79" s="10"/>
      <c r="F79" s="10"/>
      <c r="G79" s="10"/>
      <c r="H79" s="10"/>
      <c r="I79" s="10"/>
      <c r="J79" s="10"/>
    </row>
    <row r="80" spans="1:46" ht="12.75" hidden="1" customHeight="1">
      <c r="A80" s="10"/>
      <c r="B80" s="10"/>
      <c r="C80" s="10"/>
      <c r="D80" s="10"/>
      <c r="E80" s="10"/>
      <c r="F80" s="10"/>
      <c r="G80" s="10"/>
      <c r="H80" s="10"/>
      <c r="I80" s="10"/>
      <c r="J80" s="10"/>
    </row>
    <row r="81" spans="13:13" ht="17.25">
      <c r="M81" s="10"/>
    </row>
    <row r="87" spans="13:13" ht="17.25">
      <c r="M87" s="10"/>
    </row>
  </sheetData>
  <sheetProtection insertColumns="0" insertRows="0" selectLockedCells="1"/>
  <mergeCells count="71">
    <mergeCell ref="G69:H69"/>
    <mergeCell ref="G64:H64"/>
    <mergeCell ref="G68:H68"/>
    <mergeCell ref="G55:H55"/>
    <mergeCell ref="E60:F60"/>
    <mergeCell ref="G59:H59"/>
    <mergeCell ref="G60:H60"/>
    <mergeCell ref="E56:F56"/>
    <mergeCell ref="E57:F57"/>
    <mergeCell ref="E55:F55"/>
    <mergeCell ref="G70:H70"/>
    <mergeCell ref="E70:F70"/>
    <mergeCell ref="E69:F69"/>
    <mergeCell ref="G56:H56"/>
    <mergeCell ref="G57:H57"/>
    <mergeCell ref="E58:F58"/>
    <mergeCell ref="E66:F66"/>
    <mergeCell ref="G58:H58"/>
    <mergeCell ref="E61:F61"/>
    <mergeCell ref="G61:H61"/>
    <mergeCell ref="G62:H62"/>
    <mergeCell ref="G63:H63"/>
    <mergeCell ref="E67:F67"/>
    <mergeCell ref="E63:F63"/>
    <mergeCell ref="E59:F59"/>
    <mergeCell ref="E62:F62"/>
    <mergeCell ref="B42:C42"/>
    <mergeCell ref="A40:I40"/>
    <mergeCell ref="D42:E42"/>
    <mergeCell ref="E54:F54"/>
    <mergeCell ref="G48:H48"/>
    <mergeCell ref="G45:H45"/>
    <mergeCell ref="G50:H50"/>
    <mergeCell ref="E44:F44"/>
    <mergeCell ref="E52:F52"/>
    <mergeCell ref="E47:F47"/>
    <mergeCell ref="G51:H51"/>
    <mergeCell ref="G53:H53"/>
    <mergeCell ref="G52:H52"/>
    <mergeCell ref="F73:H73"/>
    <mergeCell ref="A9:B9"/>
    <mergeCell ref="A5:I5"/>
    <mergeCell ref="A8:I8"/>
    <mergeCell ref="A6:I6"/>
    <mergeCell ref="G72:H72"/>
    <mergeCell ref="F42:H42"/>
    <mergeCell ref="E9:F9"/>
    <mergeCell ref="E68:F68"/>
    <mergeCell ref="G65:H65"/>
    <mergeCell ref="G66:H66"/>
    <mergeCell ref="E64:F64"/>
    <mergeCell ref="E65:F65"/>
    <mergeCell ref="G67:H67"/>
    <mergeCell ref="A10:B11"/>
    <mergeCell ref="E48:F48"/>
    <mergeCell ref="A2:I2"/>
    <mergeCell ref="G54:H54"/>
    <mergeCell ref="A4:I4"/>
    <mergeCell ref="G49:H49"/>
    <mergeCell ref="G44:H44"/>
    <mergeCell ref="C10:D12"/>
    <mergeCell ref="G46:H46"/>
    <mergeCell ref="G47:H47"/>
    <mergeCell ref="E45:F45"/>
    <mergeCell ref="A12:B14"/>
    <mergeCell ref="E46:F46"/>
    <mergeCell ref="E53:F53"/>
    <mergeCell ref="E51:F51"/>
    <mergeCell ref="E49:F49"/>
    <mergeCell ref="E50:F50"/>
    <mergeCell ref="A15:I15"/>
  </mergeCells>
  <phoneticPr fontId="3" type="noConversion"/>
  <printOptions horizontalCentered="1"/>
  <pageMargins left="0.16" right="0.17" top="0" bottom="0.22" header="0.12" footer="0.17"/>
  <pageSetup paperSize="5" scale="54" orientation="portrait" horizontalDpi="120" verticalDpi="72"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U73"/>
  <sheetViews>
    <sheetView showGridLines="0" zoomScale="70" zoomScaleNormal="70" workbookViewId="0">
      <selection activeCell="E17" sqref="E17"/>
    </sheetView>
  </sheetViews>
  <sheetFormatPr defaultRowHeight="13.5"/>
  <cols>
    <col min="1" max="1" width="11.85546875" style="3" customWidth="1"/>
    <col min="2" max="2" width="26.42578125" style="3" customWidth="1"/>
    <col min="3" max="3" width="22.140625" style="3" customWidth="1"/>
    <col min="4" max="4" width="19.28515625" style="3" customWidth="1"/>
    <col min="5" max="5" width="20.140625" style="3" customWidth="1"/>
    <col min="6" max="6" width="19.42578125" style="3" customWidth="1"/>
    <col min="7" max="7" width="11.85546875" style="3" customWidth="1"/>
    <col min="8" max="8" width="20" style="3" customWidth="1"/>
    <col min="9" max="9" width="25.28515625" style="3" customWidth="1"/>
    <col min="10" max="10" width="81.140625" style="3" customWidth="1"/>
    <col min="11" max="11" width="21.7109375" style="3" customWidth="1"/>
    <col min="12" max="12" width="21.5703125" style="3" bestFit="1" customWidth="1"/>
    <col min="13" max="13" width="13.140625" style="3" customWidth="1"/>
    <col min="14" max="14" width="13.7109375" style="3" bestFit="1" customWidth="1"/>
    <col min="15" max="15" width="15" style="3" customWidth="1"/>
    <col min="16" max="18" width="13.140625" style="3" customWidth="1"/>
    <col min="19" max="19" width="11.140625" style="3" customWidth="1"/>
    <col min="20" max="20" width="9.140625" style="4"/>
    <col min="21" max="21" width="19.7109375" style="3" customWidth="1"/>
    <col min="22" max="22" width="9.140625" style="3"/>
    <col min="23" max="23" width="9.28515625" style="3" customWidth="1"/>
    <col min="24" max="24" width="9.140625" style="3"/>
    <col min="25" max="25" width="19.42578125" style="3" bestFit="1" customWidth="1"/>
    <col min="26" max="16384" width="9.140625" style="3"/>
  </cols>
  <sheetData>
    <row r="1" spans="1:23" ht="7.5" customHeight="1"/>
    <row r="2" spans="1:23" ht="57.75" customHeight="1">
      <c r="A2" s="413"/>
      <c r="B2" s="413"/>
      <c r="C2" s="413"/>
      <c r="D2" s="413"/>
      <c r="E2" s="413"/>
      <c r="F2" s="413"/>
      <c r="G2" s="413"/>
      <c r="H2" s="413"/>
      <c r="I2" s="413"/>
      <c r="J2" s="5"/>
      <c r="K2" s="5"/>
      <c r="L2" s="5"/>
      <c r="M2" s="5"/>
      <c r="N2" s="5"/>
      <c r="O2" s="5"/>
      <c r="P2" s="5"/>
      <c r="Q2" s="5"/>
      <c r="R2" s="5"/>
    </row>
    <row r="3" spans="1:23" ht="48.75" customHeight="1" thickBot="1">
      <c r="A3" s="207"/>
      <c r="B3" s="207"/>
      <c r="C3" s="207"/>
      <c r="D3" s="207"/>
      <c r="E3" s="207"/>
      <c r="F3" s="207"/>
      <c r="G3" s="207"/>
      <c r="H3" s="207"/>
      <c r="I3" s="207"/>
    </row>
    <row r="4" spans="1:23" ht="40.5" customHeight="1">
      <c r="A4" s="414" t="str">
        <f>UPPER("Computation Sheet and Payment Schedule")</f>
        <v>COMPUTATION SHEET AND PAYMENT SCHEDULE</v>
      </c>
      <c r="B4" s="414"/>
      <c r="C4" s="414"/>
      <c r="D4" s="414"/>
      <c r="E4" s="414"/>
      <c r="F4" s="414"/>
      <c r="G4" s="414"/>
      <c r="H4" s="414"/>
      <c r="I4" s="414"/>
      <c r="J4" s="7"/>
      <c r="K4" s="7">
        <f>DATEDIF(H8,Maturitydate,"D")</f>
        <v>386</v>
      </c>
      <c r="L4" s="7">
        <f>Terms*30</f>
        <v>360</v>
      </c>
      <c r="M4" s="7"/>
      <c r="N4" s="7"/>
      <c r="O4" s="7"/>
      <c r="P4" s="7"/>
      <c r="Q4" s="7"/>
      <c r="R4" s="7"/>
    </row>
    <row r="5" spans="1:23" ht="22.5" customHeight="1">
      <c r="A5" s="415" t="s">
        <v>0</v>
      </c>
      <c r="B5" s="415"/>
      <c r="C5" s="415" t="s">
        <v>1</v>
      </c>
      <c r="D5" s="415"/>
      <c r="E5" s="416" t="s">
        <v>2</v>
      </c>
      <c r="F5" s="416"/>
      <c r="G5" s="42"/>
      <c r="H5" s="43" t="s">
        <v>3</v>
      </c>
      <c r="I5" s="44"/>
      <c r="J5" s="8"/>
      <c r="K5" s="8"/>
      <c r="L5" s="8"/>
      <c r="M5" s="8"/>
      <c r="N5" s="8"/>
      <c r="O5" s="8"/>
      <c r="P5" s="8"/>
      <c r="Q5" s="8"/>
      <c r="R5" s="8"/>
    </row>
    <row r="6" spans="1:23" ht="21" customHeight="1">
      <c r="A6" s="417" t="str">
        <f>IF(OR_NAME&lt;&gt;"",Client_Name &amp;" or " &amp; OR_NAME,Client_Name)</f>
        <v>** or **</v>
      </c>
      <c r="B6" s="417"/>
      <c r="C6" s="418" t="str">
        <f>PROPER('Master data Input'!C8)</f>
        <v>**</v>
      </c>
      <c r="D6" s="418"/>
      <c r="E6" s="45"/>
      <c r="F6" s="45" t="str">
        <f>Type_of_Loan&amp;TEXT(IF(Express="YES","-EXPRESS",""),"")</f>
        <v>SML</v>
      </c>
      <c r="G6" s="42"/>
      <c r="H6" s="46" t="s">
        <v>5</v>
      </c>
      <c r="I6" s="47">
        <f>'Master data Input'!K10</f>
        <v>12</v>
      </c>
      <c r="J6" s="9">
        <f>Terms</f>
        <v>12</v>
      </c>
      <c r="K6" s="9"/>
      <c r="L6" s="10"/>
      <c r="M6" s="10"/>
      <c r="N6" s="10"/>
      <c r="O6" s="10"/>
      <c r="P6" s="10"/>
      <c r="Q6" s="10"/>
      <c r="R6" s="10"/>
    </row>
    <row r="7" spans="1:23" ht="33.75" customHeight="1">
      <c r="A7" s="417"/>
      <c r="B7" s="417"/>
      <c r="C7" s="418"/>
      <c r="D7" s="418"/>
      <c r="E7" s="42"/>
      <c r="F7" s="48"/>
      <c r="G7" s="49"/>
      <c r="H7" s="45" t="s">
        <v>56</v>
      </c>
      <c r="I7" s="45" t="s">
        <v>4</v>
      </c>
      <c r="J7" s="10"/>
      <c r="K7" s="10"/>
      <c r="L7" s="10"/>
      <c r="M7" s="10"/>
      <c r="N7" s="10"/>
      <c r="O7" s="10"/>
      <c r="P7" s="10"/>
      <c r="Q7" s="10"/>
      <c r="R7" s="10"/>
    </row>
    <row r="8" spans="1:23" ht="28.5" customHeight="1">
      <c r="A8" s="417"/>
      <c r="B8" s="417"/>
      <c r="C8" s="418"/>
      <c r="D8" s="418"/>
      <c r="E8" s="42"/>
      <c r="F8" s="42"/>
      <c r="G8" s="48"/>
      <c r="H8" s="50">
        <f>Date_Released_SM</f>
        <v>43265</v>
      </c>
      <c r="I8" s="51">
        <f>Maturitydate_SM</f>
        <v>43651</v>
      </c>
      <c r="K8" s="11"/>
      <c r="L8" s="11"/>
      <c r="M8" s="11">
        <f>'Master data Input'!F30</f>
        <v>46342</v>
      </c>
      <c r="N8" s="11" t="s">
        <v>68</v>
      </c>
      <c r="O8" s="12">
        <f>I6</f>
        <v>12</v>
      </c>
      <c r="P8" s="11"/>
      <c r="Q8" s="11"/>
      <c r="R8" s="11"/>
    </row>
    <row r="9" spans="1:23" ht="18.75" customHeight="1">
      <c r="A9" s="417"/>
      <c r="B9" s="417"/>
      <c r="C9" s="52"/>
      <c r="D9" s="52"/>
      <c r="E9" s="42"/>
      <c r="F9" s="423" t="s">
        <v>31</v>
      </c>
      <c r="G9" s="423"/>
      <c r="H9" s="181">
        <f>'Master data Input'!K12</f>
        <v>12</v>
      </c>
      <c r="I9" s="54"/>
      <c r="J9" s="8"/>
      <c r="K9" s="8"/>
      <c r="L9" s="8"/>
      <c r="M9" s="8"/>
      <c r="N9" s="8"/>
      <c r="O9" s="8"/>
      <c r="P9" s="8"/>
      <c r="Q9" s="8"/>
      <c r="R9" s="8"/>
    </row>
    <row r="10" spans="1:23" ht="10.5" customHeight="1">
      <c r="A10" s="417"/>
      <c r="B10" s="417"/>
      <c r="C10" s="38"/>
      <c r="D10" s="38"/>
      <c r="E10" s="38"/>
      <c r="F10" s="38"/>
      <c r="G10" s="38"/>
      <c r="H10" s="39"/>
      <c r="I10" s="39"/>
      <c r="J10" s="8"/>
      <c r="K10" s="8"/>
      <c r="L10" s="8"/>
      <c r="M10" s="13">
        <f>IF(U23&lt;H8,H8,U23)</f>
        <v>43265</v>
      </c>
      <c r="N10" s="8"/>
      <c r="O10" s="8"/>
      <c r="P10" s="8"/>
      <c r="Q10" s="8"/>
      <c r="R10" s="8"/>
    </row>
    <row r="11" spans="1:23" ht="22.5">
      <c r="A11" s="419" t="s">
        <v>6</v>
      </c>
      <c r="B11" s="419"/>
      <c r="C11" s="419"/>
      <c r="D11" s="419"/>
      <c r="E11" s="419"/>
      <c r="F11" s="419"/>
      <c r="G11" s="419"/>
      <c r="H11" s="419"/>
      <c r="I11" s="419"/>
      <c r="J11" s="14"/>
      <c r="K11" s="14"/>
      <c r="L11" s="14"/>
      <c r="M11" s="14"/>
      <c r="N11" s="14"/>
      <c r="O11" s="14"/>
      <c r="P11" s="14"/>
      <c r="Q11" s="14"/>
      <c r="R11" s="14"/>
    </row>
    <row r="12" spans="1:23" ht="12" customHeight="1">
      <c r="A12" s="37"/>
      <c r="B12" s="37"/>
      <c r="C12" s="37"/>
      <c r="D12" s="37"/>
      <c r="E12" s="37"/>
      <c r="F12" s="37"/>
      <c r="G12" s="37"/>
      <c r="H12" s="37"/>
      <c r="I12" s="37"/>
      <c r="J12" s="8"/>
      <c r="K12" s="8"/>
      <c r="L12" s="8"/>
      <c r="M12" s="8"/>
      <c r="N12" s="8"/>
      <c r="O12" s="8"/>
      <c r="P12" s="8"/>
      <c r="Q12" s="8"/>
      <c r="R12" s="8"/>
      <c r="W12" s="3">
        <v>7</v>
      </c>
    </row>
    <row r="13" spans="1:23" ht="20.25">
      <c r="A13" s="55" t="s">
        <v>99</v>
      </c>
      <c r="B13" s="54"/>
      <c r="C13" s="54"/>
      <c r="D13" s="54"/>
      <c r="E13" s="54"/>
      <c r="F13" s="56">
        <f>IF(get_loan_amount="NET AMOUNT",get_gross_amount,Loan_Amount)</f>
        <v>80953.710000000006</v>
      </c>
      <c r="G13" s="54"/>
      <c r="H13" s="54"/>
      <c r="I13" s="54"/>
      <c r="J13" s="8"/>
      <c r="K13" s="8"/>
      <c r="L13" s="8"/>
      <c r="M13" s="8"/>
      <c r="N13" s="8"/>
      <c r="O13" s="8"/>
      <c r="P13" s="8"/>
      <c r="Q13" s="8"/>
      <c r="R13" s="8"/>
    </row>
    <row r="14" spans="1:23" ht="20.25">
      <c r="A14" s="68" t="s">
        <v>140</v>
      </c>
      <c r="B14" s="54"/>
      <c r="C14" s="54"/>
      <c r="D14" s="54"/>
      <c r="E14" s="54"/>
      <c r="F14" s="57"/>
      <c r="G14" s="54"/>
      <c r="H14" s="54"/>
      <c r="I14" s="54"/>
      <c r="J14" s="8"/>
      <c r="K14" s="8"/>
      <c r="L14" s="8"/>
      <c r="M14" s="8"/>
      <c r="N14" s="8"/>
      <c r="O14" s="8"/>
      <c r="P14" s="8"/>
      <c r="Q14" s="8"/>
      <c r="R14" s="8"/>
    </row>
    <row r="15" spans="1:23" ht="20.25">
      <c r="A15" s="54" t="s">
        <v>23</v>
      </c>
      <c r="B15" s="54"/>
      <c r="C15" s="54"/>
      <c r="D15" s="54"/>
      <c r="E15" s="54"/>
      <c r="F15" s="57"/>
      <c r="G15" s="54" t="s">
        <v>106</v>
      </c>
      <c r="H15" s="54"/>
      <c r="I15" s="58" t="str">
        <f>Renewal</f>
        <v>No</v>
      </c>
      <c r="J15" s="8"/>
      <c r="K15" s="8"/>
      <c r="L15" s="8"/>
      <c r="M15" s="8"/>
      <c r="N15" s="8"/>
      <c r="O15" s="8"/>
      <c r="P15" s="8"/>
      <c r="Q15" s="8"/>
      <c r="R15" s="8"/>
    </row>
    <row r="16" spans="1:23" ht="20.25">
      <c r="A16" s="54"/>
      <c r="B16" s="59">
        <f>Interest</f>
        <v>0.03</v>
      </c>
      <c r="C16" s="54" t="str">
        <f>"from"&amp;TEXT(Date_Released," mm/dd/yyyy")&amp;" to "&amp;TEXT(Date_released2," mm/dd/yyyy")</f>
        <v>from 03/02/2026 to  06/14/2018</v>
      </c>
      <c r="D16" s="54"/>
      <c r="E16" s="60">
        <f>IF(upfront="YES",'Master data Input'!K24,IF(Type_of_Loan="BL-SA",0,ROUND(Principal_Amount*(Interest/30)*DATEDIF(Date_Released,'Monthly -client copy'!Date_released2,"d"),2)))</f>
        <v>1214.31</v>
      </c>
      <c r="F16" s="61"/>
      <c r="G16" s="54" t="s">
        <v>14</v>
      </c>
      <c r="H16" s="54"/>
      <c r="I16" s="62">
        <f>'Master data Input'!F18</f>
        <v>0</v>
      </c>
      <c r="J16" s="15">
        <f>E16+C41/A41-(360/DATEDIF(H8,I8,"d"))</f>
        <v>1213.5509049182097</v>
      </c>
      <c r="K16" s="8"/>
      <c r="L16" s="8" t="e">
        <f>DATEDIF(H8,B46,"d")</f>
        <v>#NUM!</v>
      </c>
      <c r="M16" s="8" t="s">
        <v>47</v>
      </c>
      <c r="N16" s="8"/>
      <c r="O16" s="8"/>
      <c r="P16" s="8"/>
      <c r="Q16" s="8"/>
      <c r="R16" s="8"/>
    </row>
    <row r="17" spans="1:24" ht="20.25">
      <c r="A17" s="63" t="s">
        <v>98</v>
      </c>
      <c r="B17" s="54"/>
      <c r="C17" s="64">
        <f>Processing_Fee_in_Percentage</f>
        <v>7.4999999999999997E-2</v>
      </c>
      <c r="D17" s="54"/>
      <c r="E17" s="65">
        <f>Principal_Amount*Percent_processingfee</f>
        <v>6071.5282500000003</v>
      </c>
      <c r="F17" s="57"/>
      <c r="G17" s="54" t="s">
        <v>95</v>
      </c>
      <c r="H17" s="54"/>
      <c r="I17" s="66" t="str">
        <f>Semi_Monthly_SM</f>
        <v>Monthly</v>
      </c>
      <c r="J17" s="8"/>
      <c r="K17" s="8"/>
      <c r="L17" s="8">
        <f>DATEDIF(H8,M10,"D")</f>
        <v>0</v>
      </c>
      <c r="M17" s="8"/>
      <c r="N17" s="8"/>
      <c r="O17" s="8"/>
      <c r="P17" s="8"/>
      <c r="Q17" s="8"/>
      <c r="R17" s="8"/>
      <c r="U17" s="16"/>
    </row>
    <row r="18" spans="1:24" ht="20.25">
      <c r="A18" s="54" t="s">
        <v>50</v>
      </c>
      <c r="B18" s="54"/>
      <c r="C18" s="64"/>
      <c r="D18" s="54"/>
      <c r="E18" s="65" t="str">
        <f>Account_Management_fee</f>
        <v>Auto compute**</v>
      </c>
      <c r="F18" s="57"/>
      <c r="G18" s="54"/>
      <c r="H18" s="54"/>
      <c r="I18" s="54"/>
      <c r="J18" s="8"/>
      <c r="K18" s="8"/>
      <c r="L18" s="8"/>
      <c r="M18" s="8"/>
      <c r="N18" s="8"/>
      <c r="O18" s="8"/>
      <c r="P18" s="8"/>
      <c r="Q18" s="8"/>
      <c r="R18" s="8"/>
      <c r="U18" s="16"/>
    </row>
    <row r="19" spans="1:24" ht="20.25">
      <c r="A19" s="54" t="s">
        <v>42</v>
      </c>
      <c r="B19" s="54"/>
      <c r="C19" s="64"/>
      <c r="D19" s="54"/>
      <c r="E19" s="70">
        <f>Docfee_Yes_or_No</f>
        <v>500</v>
      </c>
      <c r="F19" s="57"/>
      <c r="G19" s="54"/>
      <c r="H19" s="54"/>
      <c r="I19" s="54"/>
      <c r="J19" s="8"/>
      <c r="K19" s="8"/>
      <c r="L19" s="8"/>
      <c r="M19" s="8"/>
      <c r="N19" s="8"/>
      <c r="O19" s="8"/>
      <c r="P19" s="8"/>
      <c r="Q19" s="8"/>
      <c r="R19" s="8"/>
      <c r="U19" s="16"/>
    </row>
    <row r="20" spans="1:24" ht="20.25">
      <c r="A20" s="54" t="s">
        <v>11</v>
      </c>
      <c r="B20" s="54"/>
      <c r="C20" s="444" t="str">
        <f>IF(L4&lt;K4," NUMBER OF DAYS EXCEEDS","")</f>
        <v xml:space="preserve"> NUMBER OF DAYS EXCEEDS</v>
      </c>
      <c r="D20" s="444"/>
      <c r="E20" s="70">
        <f>Notarial_Fee</f>
        <v>500</v>
      </c>
      <c r="F20" s="57"/>
      <c r="G20" s="54" t="s">
        <v>15</v>
      </c>
      <c r="H20" s="54"/>
      <c r="I20" s="58"/>
      <c r="J20" s="8"/>
      <c r="K20" s="8"/>
      <c r="L20" s="8"/>
      <c r="M20" s="8"/>
      <c r="N20" s="8"/>
      <c r="O20" s="8"/>
      <c r="P20" s="8"/>
      <c r="Q20" s="8"/>
      <c r="R20" s="8"/>
      <c r="U20" s="16"/>
    </row>
    <row r="21" spans="1:24" ht="20.25">
      <c r="A21" s="54" t="str">
        <f>'Master data Input'!B42</f>
        <v>MLRI -Insurance</v>
      </c>
      <c r="B21" s="54"/>
      <c r="C21" s="444"/>
      <c r="D21" s="444"/>
      <c r="E21" s="69" t="str">
        <f>Insurance</f>
        <v>Auto compute**</v>
      </c>
      <c r="F21" s="57"/>
      <c r="G21" s="54"/>
      <c r="H21" s="54"/>
      <c r="I21" s="54"/>
      <c r="J21" s="8"/>
      <c r="K21" s="8"/>
      <c r="L21" s="8"/>
      <c r="M21" s="8"/>
      <c r="N21" s="8"/>
      <c r="O21" s="8"/>
      <c r="P21" s="8"/>
      <c r="Q21" s="8"/>
      <c r="R21" s="8"/>
      <c r="U21" s="16"/>
    </row>
    <row r="22" spans="1:24" ht="20.25">
      <c r="A22" s="54" t="str">
        <f>'Master data Input'!B45</f>
        <v>Miscellaneous</v>
      </c>
      <c r="B22" s="54"/>
      <c r="C22" s="444"/>
      <c r="D22" s="444"/>
      <c r="E22" s="70">
        <f>'Master data Input'!C45</f>
        <v>500</v>
      </c>
      <c r="F22" s="57"/>
      <c r="G22" s="54"/>
      <c r="H22" s="54"/>
      <c r="I22" s="54"/>
      <c r="J22" s="8"/>
      <c r="K22" s="8"/>
      <c r="L22" s="8">
        <f>DATEDIF(M10,M8,"D")</f>
        <v>3077</v>
      </c>
      <c r="M22" s="8"/>
      <c r="N22" s="8"/>
      <c r="O22" s="8"/>
      <c r="P22" s="8"/>
      <c r="Q22" s="8"/>
      <c r="R22" s="8"/>
    </row>
    <row r="23" spans="1:24" ht="21" thickBot="1">
      <c r="A23" s="55" t="s">
        <v>9</v>
      </c>
      <c r="B23" s="54"/>
      <c r="C23" s="54"/>
      <c r="D23" s="54"/>
      <c r="E23" s="67">
        <f>SUM(E16:E22)</f>
        <v>8785.8382500000007</v>
      </c>
      <c r="F23" s="57"/>
      <c r="G23" s="54" t="s">
        <v>62</v>
      </c>
      <c r="H23" s="58" t="str">
        <f>"PN-"&amp;TEXT('Master data Input'!F10,"0000-  ")&amp;TEXT(" "," ")&amp;'Master data Input'!C14</f>
        <v>PN-. SML</v>
      </c>
      <c r="I23" s="58"/>
      <c r="J23" s="8"/>
      <c r="K23" s="8"/>
      <c r="L23" s="8">
        <f>DATEDIF(H8,M8,"D")</f>
        <v>3077</v>
      </c>
      <c r="M23" s="8"/>
      <c r="N23" s="8"/>
      <c r="O23" s="8"/>
      <c r="P23" s="8"/>
      <c r="Q23" s="8"/>
      <c r="R23" s="8"/>
      <c r="U23" s="16">
        <f>DATE(YEAR(B46),MONTH(B46),DAY(B46)-30)</f>
        <v>42643</v>
      </c>
    </row>
    <row r="24" spans="1:24" ht="21" thickTop="1">
      <c r="F24" s="57"/>
      <c r="G24" s="54"/>
      <c r="H24" s="54"/>
      <c r="I24" s="54"/>
      <c r="J24" s="8"/>
      <c r="K24" s="8"/>
      <c r="L24" s="8"/>
      <c r="M24" s="8"/>
      <c r="N24" s="8"/>
      <c r="O24" s="8"/>
      <c r="P24" s="8"/>
      <c r="Q24" s="8"/>
      <c r="R24" s="8"/>
    </row>
    <row r="25" spans="1:24" ht="20.25">
      <c r="A25" s="68" t="s">
        <v>10</v>
      </c>
      <c r="B25" s="54"/>
      <c r="C25" s="54"/>
      <c r="D25" s="54"/>
      <c r="E25" s="54"/>
      <c r="F25" s="57"/>
      <c r="G25" s="54" t="s">
        <v>141</v>
      </c>
      <c r="H25" s="420">
        <f>'Master data Input'!F38</f>
        <v>0</v>
      </c>
      <c r="I25" s="420"/>
      <c r="J25" s="8"/>
      <c r="K25" s="8"/>
      <c r="L25" s="8"/>
      <c r="M25" s="8"/>
      <c r="N25" s="8"/>
      <c r="O25" s="8"/>
      <c r="P25" s="8" t="e">
        <f>TEXT($L$16,"0")&amp;"/"&amp;TEXT($L$17,"0")&amp;"/"&amp;TEXT($L$22,"0")&amp;"/"&amp;TEXT($L$23,"0")</f>
        <v>#NUM!</v>
      </c>
      <c r="Q25" s="8"/>
      <c r="R25" s="8"/>
      <c r="X25" s="3">
        <f>45000*0.15*(305/360)</f>
        <v>5718.75</v>
      </c>
    </row>
    <row r="26" spans="1:24" ht="20.25">
      <c r="A26" s="54" t="str">
        <f>Cash_Advance</f>
        <v>Cash Advance</v>
      </c>
      <c r="B26" s="54"/>
      <c r="C26" s="54"/>
      <c r="D26" s="54"/>
      <c r="E26" s="69">
        <f>Advanced_Payment</f>
        <v>0</v>
      </c>
      <c r="F26" s="57"/>
      <c r="J26" s="8"/>
      <c r="K26" s="8"/>
      <c r="L26" s="8" t="e">
        <f>DATEDIF(M10,B46,"d")</f>
        <v>#NUM!</v>
      </c>
      <c r="M26" s="8"/>
      <c r="N26" s="8"/>
      <c r="O26" s="8"/>
      <c r="P26" s="8"/>
      <c r="Q26" s="8"/>
      <c r="R26" s="8"/>
    </row>
    <row r="27" spans="1:24" ht="20.25">
      <c r="A27" s="54" t="str">
        <f>'Master data Input'!B12</f>
        <v>Outstanding Balance from previous loan</v>
      </c>
      <c r="B27" s="54"/>
      <c r="C27" s="54"/>
      <c r="D27" s="54"/>
      <c r="E27" s="85">
        <f>Outstanding_Balance_from_previous_loan</f>
        <v>0</v>
      </c>
      <c r="F27" s="57"/>
      <c r="G27" s="54"/>
      <c r="H27" s="54"/>
      <c r="I27" s="54"/>
      <c r="J27" s="8"/>
      <c r="K27" s="8"/>
      <c r="L27" s="8"/>
      <c r="M27" s="8"/>
      <c r="N27" s="8"/>
      <c r="O27" s="8"/>
      <c r="P27" s="8"/>
      <c r="Q27" s="8"/>
      <c r="R27" s="8"/>
    </row>
    <row r="28" spans="1:24" ht="21" thickBot="1">
      <c r="A28" s="54"/>
      <c r="B28" s="54"/>
      <c r="C28" s="54"/>
      <c r="D28" s="54"/>
      <c r="E28" s="71"/>
      <c r="F28" s="72">
        <f>Total_Finance_Charge+SUM($E$26:$E$28)</f>
        <v>8785.8382500000007</v>
      </c>
      <c r="G28" s="54"/>
      <c r="H28" s="54"/>
      <c r="I28" s="54"/>
      <c r="J28" s="8"/>
      <c r="K28" s="8"/>
      <c r="L28" s="8"/>
      <c r="M28" s="17"/>
      <c r="N28" s="17"/>
      <c r="O28" s="8"/>
      <c r="P28" s="18"/>
      <c r="Q28" s="8"/>
      <c r="R28" s="8"/>
    </row>
    <row r="29" spans="1:24" ht="21" thickTop="1">
      <c r="B29" s="54"/>
      <c r="C29" s="54"/>
      <c r="D29" s="54"/>
      <c r="F29" s="183"/>
      <c r="G29" s="54" t="s">
        <v>102</v>
      </c>
      <c r="H29" s="54"/>
      <c r="I29" s="58">
        <f>'Master data Input'!F42</f>
        <v>0</v>
      </c>
      <c r="J29" s="8"/>
      <c r="K29" s="8"/>
      <c r="L29" s="8"/>
      <c r="M29" s="8"/>
      <c r="N29" s="8"/>
      <c r="O29" s="8"/>
      <c r="P29" s="8"/>
      <c r="Q29" s="8"/>
      <c r="R29" s="8"/>
    </row>
    <row r="30" spans="1:24" ht="21" thickBot="1">
      <c r="A30" s="55" t="s">
        <v>12</v>
      </c>
      <c r="B30" s="54"/>
      <c r="C30" s="54"/>
      <c r="D30" s="54"/>
      <c r="E30" s="54"/>
      <c r="F30" s="72">
        <f>Principal_Amount-Total_Deduction</f>
        <v>72167.871750000006</v>
      </c>
      <c r="G30" s="54"/>
      <c r="H30" s="54"/>
      <c r="I30" s="54"/>
      <c r="J30" s="8"/>
      <c r="K30" s="8"/>
      <c r="L30" s="8"/>
      <c r="M30" s="8"/>
      <c r="N30" s="8"/>
      <c r="O30" s="8"/>
      <c r="P30" s="8"/>
      <c r="Q30" s="8"/>
      <c r="R30" s="8"/>
    </row>
    <row r="31" spans="1:24" ht="21" thickTop="1">
      <c r="B31" s="54"/>
      <c r="C31" s="54"/>
      <c r="D31" s="54"/>
      <c r="E31" s="54"/>
      <c r="F31" s="184"/>
      <c r="G31" s="54"/>
      <c r="H31" s="54"/>
      <c r="I31" s="54"/>
      <c r="J31" s="8"/>
      <c r="K31" s="8"/>
      <c r="L31" s="8"/>
      <c r="M31" s="8" t="s">
        <v>48</v>
      </c>
      <c r="N31" s="8"/>
      <c r="O31" s="8"/>
      <c r="P31" s="8"/>
      <c r="Q31" s="8"/>
      <c r="R31" s="8"/>
      <c r="U31" s="3" t="s">
        <v>43</v>
      </c>
    </row>
    <row r="32" spans="1:24" ht="20.25">
      <c r="A32" s="54" t="s">
        <v>13</v>
      </c>
      <c r="B32" s="54"/>
      <c r="C32" s="54"/>
      <c r="D32" s="54"/>
      <c r="E32" s="54"/>
      <c r="F32" s="185">
        <f>Total_Finance_Charge/Principal_Amount</f>
        <v>0.10852916129476957</v>
      </c>
      <c r="G32" s="54"/>
      <c r="H32" s="54"/>
      <c r="I32" s="54"/>
      <c r="J32" s="8"/>
      <c r="K32" s="8"/>
      <c r="L32" s="8"/>
      <c r="M32" s="8"/>
      <c r="N32" s="8"/>
      <c r="O32" s="8"/>
      <c r="P32" s="8"/>
      <c r="Q32" s="8"/>
      <c r="R32" s="8"/>
    </row>
    <row r="33" spans="1:47" ht="20.25">
      <c r="A33" s="54" t="s">
        <v>143</v>
      </c>
      <c r="B33" s="54"/>
      <c r="C33" s="54"/>
      <c r="D33" s="54"/>
      <c r="E33" s="54"/>
      <c r="F33" s="186">
        <f>Contractual_Rate</f>
        <v>3.6999999999999998E-2</v>
      </c>
      <c r="G33" s="54"/>
      <c r="H33" s="54"/>
      <c r="I33" s="54"/>
      <c r="J33" s="8"/>
      <c r="K33" s="8"/>
      <c r="L33" s="8"/>
      <c r="M33" s="8"/>
      <c r="N33" s="8"/>
      <c r="O33" s="8"/>
      <c r="P33" s="8"/>
      <c r="Q33" s="8"/>
      <c r="R33" s="8"/>
    </row>
    <row r="34" spans="1:47" ht="20.25">
      <c r="A34" s="54" t="s">
        <v>145</v>
      </c>
      <c r="B34" s="54"/>
      <c r="C34" s="54"/>
      <c r="D34" s="54"/>
      <c r="E34" s="54"/>
      <c r="F34" s="186">
        <f>Interest</f>
        <v>0.03</v>
      </c>
      <c r="G34" s="54"/>
      <c r="H34" s="54"/>
      <c r="I34" s="54"/>
      <c r="J34" s="8"/>
      <c r="K34" s="8"/>
      <c r="L34" s="8"/>
      <c r="M34" s="8"/>
      <c r="N34" s="8"/>
      <c r="O34" s="8"/>
      <c r="P34" s="8"/>
      <c r="Q34" s="8"/>
      <c r="R34" s="8"/>
    </row>
    <row r="35" spans="1:47" ht="20.25">
      <c r="A35" s="54" t="s">
        <v>138</v>
      </c>
      <c r="B35" s="54"/>
      <c r="C35" s="54"/>
      <c r="D35" s="54"/>
      <c r="E35" s="54"/>
      <c r="F35" s="185">
        <f>EIR</f>
        <v>0.66108799707812604</v>
      </c>
      <c r="G35" s="54"/>
      <c r="H35" s="54"/>
      <c r="I35" s="54"/>
      <c r="J35" s="19"/>
      <c r="K35" s="8"/>
      <c r="L35" s="8"/>
      <c r="M35" s="8" t="s">
        <v>51</v>
      </c>
      <c r="N35" s="8"/>
      <c r="O35" s="8"/>
      <c r="P35" s="8"/>
      <c r="Q35" s="8"/>
      <c r="R35" s="8"/>
    </row>
    <row r="36" spans="1:47" ht="20.25">
      <c r="A36" s="54" t="s">
        <v>117</v>
      </c>
      <c r="B36" s="54"/>
      <c r="C36" s="54"/>
      <c r="D36" s="54"/>
      <c r="E36" s="54"/>
      <c r="F36" s="185">
        <f>MIR</f>
        <v>6.5489268757437324E-2</v>
      </c>
      <c r="G36" s="54" t="s">
        <v>16</v>
      </c>
      <c r="H36" s="54"/>
      <c r="I36" s="229">
        <f>Date_Released</f>
        <v>46083</v>
      </c>
      <c r="J36" s="20"/>
      <c r="K36" s="20"/>
      <c r="L36" s="20"/>
      <c r="M36" s="20"/>
      <c r="N36" s="20"/>
      <c r="O36" s="20"/>
      <c r="P36" s="20"/>
      <c r="Q36" s="20"/>
      <c r="R36" s="20"/>
    </row>
    <row r="37" spans="1:47" ht="20.25">
      <c r="A37" s="54"/>
      <c r="B37" s="54"/>
      <c r="C37" s="54"/>
      <c r="D37" s="54"/>
      <c r="E37" s="54"/>
      <c r="F37" s="57"/>
      <c r="G37" s="54" t="s">
        <v>54</v>
      </c>
      <c r="H37" s="54" t="str">
        <f>UPPER(Agents)</f>
        <v/>
      </c>
      <c r="I37" s="54"/>
      <c r="J37" s="8"/>
      <c r="K37" s="8"/>
      <c r="L37" s="8"/>
      <c r="M37" s="8"/>
      <c r="N37" s="8"/>
      <c r="O37" s="8"/>
      <c r="P37" s="8"/>
      <c r="Q37" s="8"/>
      <c r="R37" s="8"/>
      <c r="Y37" s="21"/>
    </row>
    <row r="38" spans="1:47" ht="31.5" customHeight="1">
      <c r="A38" s="414" t="s">
        <v>139</v>
      </c>
      <c r="B38" s="414"/>
      <c r="C38" s="414"/>
      <c r="D38" s="414"/>
      <c r="E38" s="414"/>
      <c r="F38" s="414"/>
      <c r="G38" s="414"/>
      <c r="H38" s="414"/>
      <c r="I38" s="414"/>
      <c r="J38" s="14"/>
      <c r="K38" s="14"/>
      <c r="L38" s="14"/>
      <c r="M38" s="14"/>
      <c r="N38" s="14"/>
      <c r="O38" s="14"/>
      <c r="P38" s="14"/>
      <c r="Q38" s="14"/>
      <c r="R38" s="14"/>
    </row>
    <row r="39" spans="1:47" ht="20.25" hidden="1">
      <c r="A39" s="54"/>
      <c r="B39" s="54"/>
      <c r="C39" s="54"/>
      <c r="D39" s="54"/>
      <c r="E39" s="54"/>
      <c r="F39" s="54"/>
      <c r="G39" s="54"/>
      <c r="H39" s="54"/>
      <c r="I39" s="54"/>
      <c r="J39" s="8"/>
      <c r="K39" s="8"/>
      <c r="L39" s="8"/>
      <c r="M39" s="8"/>
      <c r="N39" s="17">
        <f>C41+E16</f>
        <v>15263.616316385209</v>
      </c>
      <c r="O39" s="17">
        <v>11667</v>
      </c>
      <c r="P39" s="8"/>
      <c r="Q39" s="8"/>
      <c r="R39" s="8"/>
    </row>
    <row r="40" spans="1:47" ht="20.25" hidden="1">
      <c r="A40" s="421" t="s">
        <v>18</v>
      </c>
      <c r="B40" s="422"/>
      <c r="C40" s="421" t="s">
        <v>19</v>
      </c>
      <c r="D40" s="422"/>
      <c r="E40" s="104" t="s">
        <v>25</v>
      </c>
      <c r="F40" s="190"/>
      <c r="G40" s="191"/>
      <c r="H40" s="54"/>
      <c r="I40" s="8"/>
      <c r="J40" s="8"/>
      <c r="K40" s="8"/>
      <c r="L40" s="8"/>
      <c r="M40" s="8"/>
      <c r="N40" s="8"/>
      <c r="O40" s="8"/>
      <c r="P40" s="8"/>
      <c r="Q40" s="8"/>
      <c r="S40" s="4"/>
      <c r="T40" s="3"/>
      <c r="X40" s="22">
        <f>DATE(YEAR(U17),MONTH(U17)+1,DAY(U17))</f>
        <v>31</v>
      </c>
    </row>
    <row r="41" spans="1:47" ht="26.25" hidden="1" customHeight="1" thickBot="1">
      <c r="A41" s="406">
        <f>Principal_Amount</f>
        <v>80953.710000000006</v>
      </c>
      <c r="B41" s="407"/>
      <c r="C41" s="408">
        <f>'computation sheet'!C37</f>
        <v>14049.306316385209</v>
      </c>
      <c r="D41" s="409"/>
      <c r="E41" s="192">
        <f>IF(Type_of_Loan="BL-SA",Amount_of_Loan,Loan_Amount+Total_UII)</f>
        <v>95003.016316385212</v>
      </c>
      <c r="F41" s="193"/>
      <c r="G41" s="194"/>
      <c r="H41" s="54"/>
      <c r="I41" s="8"/>
      <c r="J41" s="23">
        <f>DATE(YEAR($B$46),MONTH($B$46)+($H$9-1),DAY($B$46))</f>
        <v>43008</v>
      </c>
      <c r="K41" s="8" t="s">
        <v>46</v>
      </c>
      <c r="L41" s="8"/>
      <c r="M41" s="8"/>
      <c r="N41" s="8"/>
      <c r="O41" s="8"/>
      <c r="P41" s="8"/>
      <c r="Q41" s="8"/>
      <c r="R41" s="21"/>
      <c r="S41" s="4"/>
      <c r="T41" s="3"/>
    </row>
    <row r="42" spans="1:47" ht="15.75" customHeight="1" thickBot="1">
      <c r="A42" s="189"/>
      <c r="B42" s="189"/>
      <c r="C42" s="189"/>
      <c r="D42" s="189"/>
      <c r="E42" s="60"/>
      <c r="F42" s="60"/>
      <c r="G42" s="60"/>
      <c r="H42" s="54"/>
      <c r="I42" s="8"/>
      <c r="J42" s="227"/>
      <c r="K42" s="8"/>
      <c r="L42" s="8"/>
      <c r="M42" s="8"/>
      <c r="N42" s="8"/>
      <c r="O42" s="8"/>
      <c r="P42" s="8"/>
      <c r="Q42" s="8"/>
      <c r="R42" s="21"/>
      <c r="S42" s="4"/>
      <c r="T42" s="3"/>
    </row>
    <row r="43" spans="1:47" ht="21.75" thickTop="1" thickBot="1">
      <c r="A43" s="209" t="s">
        <v>20</v>
      </c>
      <c r="B43" s="209" t="s">
        <v>21</v>
      </c>
      <c r="C43" s="209" t="s">
        <v>121</v>
      </c>
      <c r="D43" s="209" t="s">
        <v>69</v>
      </c>
      <c r="E43" s="209" t="s">
        <v>23</v>
      </c>
      <c r="F43" s="209" t="s">
        <v>24</v>
      </c>
      <c r="G43" s="410" t="s">
        <v>114</v>
      </c>
      <c r="H43" s="410"/>
      <c r="I43" s="209" t="s">
        <v>123</v>
      </c>
      <c r="J43" s="90"/>
      <c r="K43" s="136"/>
      <c r="L43" s="26"/>
      <c r="M43" s="8"/>
      <c r="N43" s="8"/>
      <c r="O43" s="8"/>
      <c r="P43" s="8"/>
      <c r="Q43" s="8"/>
      <c r="T43" s="3"/>
      <c r="AI43" s="27"/>
      <c r="AJ43" s="27"/>
      <c r="AK43" s="27"/>
      <c r="AL43" s="27"/>
      <c r="AM43" s="27"/>
      <c r="AN43" s="27"/>
      <c r="AO43" s="27"/>
      <c r="AP43" s="27"/>
      <c r="AQ43" s="27"/>
      <c r="AR43" s="28"/>
      <c r="AS43" s="28"/>
      <c r="AT43" s="28"/>
      <c r="AU43" s="28"/>
    </row>
    <row r="44" spans="1:47" ht="21" thickTop="1">
      <c r="A44" s="213"/>
      <c r="B44" s="213"/>
      <c r="C44" s="223">
        <f>Loan_Amount</f>
        <v>80953.710000000006</v>
      </c>
      <c r="D44" s="213"/>
      <c r="E44" s="213"/>
      <c r="F44" s="213"/>
      <c r="G44" s="411"/>
      <c r="H44" s="412"/>
      <c r="I44" s="208">
        <f>Loan_Amount</f>
        <v>80953.710000000006</v>
      </c>
      <c r="J44" s="90"/>
      <c r="K44" s="136"/>
      <c r="L44" s="26"/>
      <c r="M44" s="8"/>
      <c r="N44" s="8"/>
      <c r="O44" s="8"/>
      <c r="P44" s="8"/>
      <c r="Q44" s="8"/>
      <c r="T44" s="3"/>
      <c r="AI44" s="27"/>
      <c r="AJ44" s="27"/>
      <c r="AK44" s="27"/>
      <c r="AL44" s="27"/>
      <c r="AM44" s="27"/>
      <c r="AN44" s="27"/>
      <c r="AO44" s="27"/>
      <c r="AP44" s="27"/>
      <c r="AQ44" s="27"/>
      <c r="AR44" s="28"/>
      <c r="AS44" s="28"/>
      <c r="AT44" s="28"/>
      <c r="AU44" s="28"/>
    </row>
    <row r="45" spans="1:47" ht="20.25">
      <c r="A45" s="201">
        <v>0</v>
      </c>
      <c r="B45" s="341"/>
      <c r="C45" s="214"/>
      <c r="D45" s="214"/>
      <c r="E45" s="214"/>
      <c r="F45" s="214"/>
      <c r="G45" s="427">
        <f>'Semi Monthly -client copy'!Total_Deduction</f>
        <v>8785.8382500000007</v>
      </c>
      <c r="H45" s="428"/>
      <c r="I45" s="202">
        <f>Loan_Amount</f>
        <v>80953.710000000006</v>
      </c>
      <c r="J45" s="90"/>
      <c r="K45" s="136"/>
      <c r="L45" s="26"/>
      <c r="M45" s="8"/>
      <c r="N45" s="17">
        <f>D61/12</f>
        <v>7916.9180263654316</v>
      </c>
      <c r="O45" s="8"/>
      <c r="P45" s="8"/>
      <c r="Q45" s="8"/>
      <c r="T45" s="3"/>
      <c r="AI45" s="27"/>
      <c r="AJ45" s="27"/>
      <c r="AK45" s="27"/>
      <c r="AL45" s="27"/>
      <c r="AM45" s="27"/>
      <c r="AN45" s="27"/>
      <c r="AO45" s="27"/>
      <c r="AP45" s="27"/>
      <c r="AQ45" s="27"/>
      <c r="AR45" s="28"/>
      <c r="AS45" s="28"/>
      <c r="AT45" s="28"/>
      <c r="AU45" s="28"/>
    </row>
    <row r="46" spans="1:47" ht="20.25">
      <c r="A46" s="201">
        <v>1</v>
      </c>
      <c r="B46" s="342">
        <v>42673</v>
      </c>
      <c r="C46" s="198"/>
      <c r="D46" s="200">
        <f>IF(B46&lt;&gt;"",(-'computation sheet'!$C$36/$H$9),"")</f>
        <v>7916.9180263654343</v>
      </c>
      <c r="E46" s="206">
        <f>'Semi Monthly 3 SL'!E45:F45</f>
        <v>2161.4317409823402</v>
      </c>
      <c r="F46" s="205">
        <f>IF(NOT(A46=AA24),D46-E46,"")</f>
        <v>5755.4862853830946</v>
      </c>
      <c r="G46" s="424"/>
      <c r="H46" s="425"/>
      <c r="I46" s="202">
        <f t="shared" ref="I46:I60" si="0">IF(PERIOD&lt;&gt;"",(I45-F46),"")</f>
        <v>75198.223714616906</v>
      </c>
      <c r="J46" s="54"/>
      <c r="K46" s="135" t="str">
        <f>IF(WEEKDAY(L46,2)=1,"Monday",IF(WEEKDAY(L46,2)=2,"Tuesday",IF(WEEKDAY(L46,2)=3,"Wednesday",IF(WEEKDAY(L46,2)=4,"Thursday",IF(WEEKDAY(L46,2)=5,"Friday",IF(WEEKDAY(L46,2)=6,"Saturday",IF(WEEKDAY(L46,2)=7,"Sunday")))))))</f>
        <v>Thursday</v>
      </c>
      <c r="L46" s="32">
        <f>'Master data Input'!C30</f>
        <v>46128</v>
      </c>
      <c r="M46" s="8"/>
      <c r="N46" s="17">
        <f>D62/12</f>
        <v>0</v>
      </c>
      <c r="O46" s="8"/>
      <c r="P46" s="8"/>
      <c r="Q46" s="8"/>
      <c r="T46" s="3"/>
      <c r="AI46" s="27"/>
      <c r="AJ46" s="27"/>
      <c r="AK46" s="27"/>
      <c r="AL46" s="27"/>
      <c r="AM46" s="27"/>
      <c r="AN46" s="27"/>
      <c r="AO46" s="27"/>
      <c r="AP46" s="27"/>
      <c r="AQ46" s="27"/>
      <c r="AR46" s="28"/>
      <c r="AS46" s="28"/>
      <c r="AT46" s="28"/>
      <c r="AU46" s="28"/>
    </row>
    <row r="47" spans="1:47" ht="20.25">
      <c r="A47" s="201">
        <f t="shared" ref="A47:A60" si="1">IF(A46&lt;$H$9,A46+1,"")</f>
        <v>2</v>
      </c>
      <c r="B47" s="342">
        <v>42673</v>
      </c>
      <c r="C47" s="198"/>
      <c r="D47" s="200">
        <f>IF(B47&lt;&gt;"",(-'computation sheet'!$C$36/$H$9),"")</f>
        <v>7916.9180263654343</v>
      </c>
      <c r="E47" s="206">
        <f>'Semi Monthly 3 SL'!E46:F46</f>
        <v>1981.3124292338116</v>
      </c>
      <c r="F47" s="205">
        <f>IF(NOT(A47=AA27),D47-E47,"")</f>
        <v>5935.6055971316227</v>
      </c>
      <c r="G47" s="424"/>
      <c r="H47" s="425"/>
      <c r="I47" s="202">
        <f t="shared" si="0"/>
        <v>69262.618117485283</v>
      </c>
      <c r="J47" s="54"/>
      <c r="K47" s="135" t="e">
        <f t="shared" ref="K47:K60" si="2">IF(WEEKDAY(L47,2)=1,"Monday",IF(WEEKDAY(L47,2)=2,"Tuesday",IF(WEEKDAY(L47,2)=3,"Wednesday",IF(WEEKDAY(L47,2)=4,"Thursday",IF(WEEKDAY(L47,2)=5,"Friday",IF(WEEKDAY(L47,2)=6,"Saturday",IF(WEEKDAY(L47,2)=7,"Sunday")))))))</f>
        <v>#VALUE!</v>
      </c>
      <c r="L47" s="32" t="str">
        <f t="shared" ref="L47:L60" si="3">IF(PERIOD&lt;&gt;"",IF(DATE(YEAR(L46),MONTH(L46),DAY(L46))&lt;=$J$41,DATE(YEAR(L46),MONTH(L46)+1,DAY(L46)),""),"")</f>
        <v/>
      </c>
      <c r="M47" s="8"/>
      <c r="N47" s="8"/>
      <c r="O47" s="8"/>
      <c r="P47" s="8"/>
      <c r="Q47" s="8"/>
      <c r="T47" s="3"/>
      <c r="AI47" s="27"/>
      <c r="AJ47" s="27"/>
      <c r="AK47" s="27"/>
      <c r="AL47" s="27"/>
      <c r="AM47" s="27"/>
      <c r="AN47" s="27"/>
      <c r="AO47" s="27"/>
      <c r="AP47" s="27"/>
      <c r="AQ47" s="27"/>
      <c r="AR47" s="28"/>
      <c r="AS47" s="28"/>
      <c r="AT47" s="28"/>
      <c r="AU47" s="28"/>
    </row>
    <row r="48" spans="1:47" ht="20.25">
      <c r="A48" s="201">
        <f t="shared" si="1"/>
        <v>3</v>
      </c>
      <c r="B48" s="342">
        <v>42689</v>
      </c>
      <c r="C48" s="198"/>
      <c r="D48" s="200">
        <f>IF(B48&lt;&gt;"",(-'computation sheet'!$C$36/$H$9),"")</f>
        <v>7916.9180263654343</v>
      </c>
      <c r="E48" s="206">
        <f>'Semi Monthly 3 SL'!E47:F47</f>
        <v>1801.193117485283</v>
      </c>
      <c r="F48" s="205">
        <f>IF(NOT(A48=AA29),D48-E48,"")</f>
        <v>6115.7249088801509</v>
      </c>
      <c r="G48" s="424"/>
      <c r="H48" s="425"/>
      <c r="I48" s="202">
        <f t="shared" si="0"/>
        <v>63146.893208605135</v>
      </c>
      <c r="J48" s="90"/>
      <c r="K48" s="135" t="e">
        <f t="shared" si="2"/>
        <v>#VALUE!</v>
      </c>
      <c r="L48" s="32" t="e">
        <f t="shared" si="3"/>
        <v>#VALUE!</v>
      </c>
      <c r="M48" s="8"/>
      <c r="N48" s="8"/>
      <c r="O48" s="8"/>
      <c r="P48" s="8"/>
      <c r="Q48" s="8"/>
      <c r="T48" s="3"/>
      <c r="AI48" s="27"/>
      <c r="AJ48" s="27"/>
      <c r="AK48" s="27"/>
      <c r="AL48" s="27"/>
      <c r="AM48" s="27"/>
      <c r="AN48" s="27"/>
      <c r="AO48" s="27"/>
      <c r="AP48" s="27"/>
      <c r="AQ48" s="27"/>
      <c r="AR48" s="28"/>
      <c r="AS48" s="28"/>
      <c r="AT48" s="28"/>
      <c r="AU48" s="28"/>
    </row>
    <row r="49" spans="1:47" ht="20.25">
      <c r="A49" s="201">
        <f t="shared" si="1"/>
        <v>4</v>
      </c>
      <c r="B49" s="342">
        <v>42704</v>
      </c>
      <c r="C49" s="198"/>
      <c r="D49" s="200">
        <f>IF(B49&lt;&gt;"",(-'computation sheet'!$C$36/$H$9),"")</f>
        <v>7916.9180263654343</v>
      </c>
      <c r="E49" s="206">
        <f>'Semi Monthly 3 SL'!E48:F48</f>
        <v>1621.073805736755</v>
      </c>
      <c r="F49" s="205">
        <f>IF(NOT(A49=AA30),D49-E49,"")</f>
        <v>6295.8442206286791</v>
      </c>
      <c r="G49" s="424"/>
      <c r="H49" s="425"/>
      <c r="I49" s="202">
        <f t="shared" si="0"/>
        <v>56851.048987976457</v>
      </c>
      <c r="J49" s="90"/>
      <c r="K49" s="135" t="e">
        <f t="shared" si="2"/>
        <v>#VALUE!</v>
      </c>
      <c r="L49" s="32" t="e">
        <f t="shared" si="3"/>
        <v>#VALUE!</v>
      </c>
      <c r="M49" s="8"/>
      <c r="N49" s="8"/>
      <c r="O49" s="8"/>
      <c r="P49" s="8"/>
      <c r="Q49" s="8"/>
      <c r="T49" s="3"/>
      <c r="AI49" s="27"/>
      <c r="AJ49" s="27"/>
      <c r="AK49" s="27"/>
      <c r="AL49" s="27"/>
      <c r="AM49" s="27"/>
      <c r="AN49" s="27"/>
      <c r="AO49" s="27"/>
      <c r="AP49" s="27"/>
      <c r="AQ49" s="27"/>
      <c r="AR49" s="28"/>
      <c r="AS49" s="28"/>
      <c r="AT49" s="28"/>
      <c r="AU49" s="28"/>
    </row>
    <row r="50" spans="1:47" ht="20.25">
      <c r="A50" s="201">
        <f t="shared" si="1"/>
        <v>5</v>
      </c>
      <c r="B50" s="342">
        <v>42719</v>
      </c>
      <c r="C50" s="198"/>
      <c r="D50" s="200">
        <f>IF(B50&lt;&gt;"",(-'computation sheet'!$C$36/$H$9),"")</f>
        <v>7916.9180263654343</v>
      </c>
      <c r="E50" s="206">
        <f>'Semi Monthly 3 SL'!E49:F49</f>
        <v>1440.9544939882267</v>
      </c>
      <c r="F50" s="205">
        <f>IF(NOT(A50=AA31),D50-E50,"")</f>
        <v>6475.9635323772072</v>
      </c>
      <c r="G50" s="424"/>
      <c r="H50" s="425"/>
      <c r="I50" s="202">
        <f t="shared" si="0"/>
        <v>50375.085455599248</v>
      </c>
      <c r="J50" s="54"/>
      <c r="K50" s="135" t="e">
        <f t="shared" si="2"/>
        <v>#VALUE!</v>
      </c>
      <c r="L50" s="32" t="e">
        <f t="shared" si="3"/>
        <v>#VALUE!</v>
      </c>
      <c r="M50" s="8"/>
      <c r="N50" s="8"/>
      <c r="O50" s="8"/>
      <c r="P50" s="8"/>
      <c r="Q50" s="8"/>
      <c r="T50" s="3"/>
      <c r="AI50" s="27"/>
      <c r="AJ50" s="27"/>
      <c r="AK50" s="27"/>
      <c r="AL50" s="27"/>
      <c r="AM50" s="27"/>
      <c r="AN50" s="27"/>
      <c r="AO50" s="27"/>
      <c r="AP50" s="27"/>
      <c r="AQ50" s="27"/>
      <c r="AR50" s="28"/>
      <c r="AS50" s="28"/>
      <c r="AT50" s="28"/>
      <c r="AU50" s="28"/>
    </row>
    <row r="51" spans="1:47" ht="20.25">
      <c r="A51" s="201">
        <f t="shared" si="1"/>
        <v>6</v>
      </c>
      <c r="B51" s="342">
        <v>42734</v>
      </c>
      <c r="C51" s="198"/>
      <c r="D51" s="200">
        <f>IF(B51&lt;&gt;"",(-'computation sheet'!$C$36/$H$9),"")</f>
        <v>7916.9180263654343</v>
      </c>
      <c r="E51" s="206">
        <f>'Semi Monthly 3 SL'!E50:F50</f>
        <v>1260.8351822396983</v>
      </c>
      <c r="F51" s="205">
        <f>IF(NOT(A51=AA32),D51-E51,"")</f>
        <v>6656.0828441257363</v>
      </c>
      <c r="G51" s="424"/>
      <c r="H51" s="425"/>
      <c r="I51" s="202">
        <f t="shared" si="0"/>
        <v>43719.002611473508</v>
      </c>
      <c r="J51" s="90"/>
      <c r="K51" s="135" t="e">
        <f t="shared" si="2"/>
        <v>#VALUE!</v>
      </c>
      <c r="L51" s="32" t="e">
        <f t="shared" si="3"/>
        <v>#VALUE!</v>
      </c>
      <c r="M51" s="8"/>
      <c r="N51" s="8"/>
      <c r="O51" s="8"/>
      <c r="P51" s="8"/>
      <c r="Q51" s="8"/>
      <c r="T51" s="3"/>
      <c r="AI51" s="27"/>
      <c r="AJ51" s="27"/>
      <c r="AK51" s="27"/>
      <c r="AL51" s="27"/>
      <c r="AM51" s="27"/>
      <c r="AN51" s="27"/>
      <c r="AO51" s="27"/>
      <c r="AP51" s="27"/>
      <c r="AQ51" s="27"/>
      <c r="AR51" s="28"/>
      <c r="AS51" s="28"/>
      <c r="AT51" s="28"/>
      <c r="AU51" s="28"/>
    </row>
    <row r="52" spans="1:47" ht="20.25">
      <c r="A52" s="201">
        <f t="shared" si="1"/>
        <v>7</v>
      </c>
      <c r="B52" s="342">
        <v>42750</v>
      </c>
      <c r="C52" s="198"/>
      <c r="D52" s="200">
        <f>IF(B52&lt;&gt;"",(-'computation sheet'!$C$36/$H$9),"")</f>
        <v>7916.9180263654343</v>
      </c>
      <c r="E52" s="206">
        <f>'Semi Monthly 3 SL'!E51:F51</f>
        <v>1080.7158704911701</v>
      </c>
      <c r="F52" s="205">
        <f>IF(NOT(A52=AA35),D52-E52,"")</f>
        <v>6836.2021558742645</v>
      </c>
      <c r="G52" s="424"/>
      <c r="H52" s="425"/>
      <c r="I52" s="202">
        <f t="shared" si="0"/>
        <v>36882.800455599245</v>
      </c>
      <c r="J52" s="54"/>
      <c r="K52" s="135" t="e">
        <f t="shared" si="2"/>
        <v>#VALUE!</v>
      </c>
      <c r="L52" s="32" t="e">
        <f t="shared" si="3"/>
        <v>#VALUE!</v>
      </c>
      <c r="M52" s="8"/>
      <c r="N52" s="8"/>
      <c r="O52" s="8"/>
      <c r="P52" s="8"/>
      <c r="Q52" s="8"/>
      <c r="T52" s="3"/>
      <c r="AI52" s="27"/>
      <c r="AJ52" s="27"/>
      <c r="AK52" s="27"/>
      <c r="AL52" s="27"/>
      <c r="AM52" s="27"/>
      <c r="AN52" s="27"/>
      <c r="AO52" s="27"/>
      <c r="AP52" s="27"/>
      <c r="AQ52" s="27"/>
      <c r="AR52" s="28"/>
      <c r="AS52" s="28"/>
      <c r="AT52" s="28"/>
      <c r="AU52" s="28"/>
    </row>
    <row r="53" spans="1:47" ht="20.25">
      <c r="A53" s="201">
        <f t="shared" si="1"/>
        <v>8</v>
      </c>
      <c r="B53" s="342">
        <v>42765</v>
      </c>
      <c r="C53" s="198"/>
      <c r="D53" s="200">
        <f>IF(B53&lt;&gt;"",(-'computation sheet'!$C$36/$H$9),"")</f>
        <v>7916.9180263654343</v>
      </c>
      <c r="E53" s="206">
        <f>'Semi Monthly 3 SL'!E52:F52</f>
        <v>900.59655874264149</v>
      </c>
      <c r="F53" s="205">
        <f>IF(NOT(A53=AA36),D53-E53,"")</f>
        <v>7016.3214676227926</v>
      </c>
      <c r="G53" s="424"/>
      <c r="H53" s="425"/>
      <c r="I53" s="202">
        <f t="shared" si="0"/>
        <v>29866.47898797645</v>
      </c>
      <c r="J53" s="54"/>
      <c r="K53" s="135" t="e">
        <f t="shared" si="2"/>
        <v>#VALUE!</v>
      </c>
      <c r="L53" s="32" t="e">
        <f t="shared" si="3"/>
        <v>#VALUE!</v>
      </c>
      <c r="M53" s="8"/>
      <c r="N53" s="8"/>
      <c r="O53" s="8"/>
      <c r="P53" s="8"/>
      <c r="Q53" s="8"/>
      <c r="T53" s="3"/>
      <c r="AI53" s="27"/>
      <c r="AJ53" s="27"/>
      <c r="AK53" s="27"/>
      <c r="AL53" s="27"/>
      <c r="AM53" s="27"/>
      <c r="AN53" s="27"/>
      <c r="AO53" s="27"/>
      <c r="AP53" s="27"/>
      <c r="AQ53" s="27"/>
      <c r="AR53" s="28"/>
      <c r="AS53" s="28"/>
      <c r="AT53" s="28"/>
      <c r="AU53" s="28"/>
    </row>
    <row r="54" spans="1:47" ht="20.25">
      <c r="A54" s="201">
        <f t="shared" si="1"/>
        <v>9</v>
      </c>
      <c r="B54" s="342">
        <v>42781</v>
      </c>
      <c r="C54" s="198"/>
      <c r="D54" s="200">
        <f>IF(B54&lt;&gt;"",(-'computation sheet'!$C$36/$H$9),"")</f>
        <v>7916.9180263654343</v>
      </c>
      <c r="E54" s="206">
        <f>'Semi Monthly 3 SL'!E53:F53</f>
        <v>720.47724699411333</v>
      </c>
      <c r="F54" s="205">
        <f>IF(NOT(A54=AA37),D54-E54,"")</f>
        <v>7196.4407793713208</v>
      </c>
      <c r="G54" s="424"/>
      <c r="H54" s="425"/>
      <c r="I54" s="202">
        <f t="shared" si="0"/>
        <v>22670.038208605129</v>
      </c>
      <c r="J54" s="54"/>
      <c r="K54" s="135" t="e">
        <f t="shared" si="2"/>
        <v>#VALUE!</v>
      </c>
      <c r="L54" s="32" t="e">
        <f t="shared" si="3"/>
        <v>#VALUE!</v>
      </c>
      <c r="M54" s="8"/>
      <c r="N54" s="8"/>
      <c r="O54" s="8"/>
      <c r="P54" s="8"/>
      <c r="Q54" s="8"/>
      <c r="T54" s="33"/>
      <c r="AI54" s="27"/>
      <c r="AJ54" s="27"/>
      <c r="AK54" s="27"/>
      <c r="AL54" s="27"/>
      <c r="AM54" s="27"/>
      <c r="AN54" s="27"/>
      <c r="AO54" s="27"/>
      <c r="AP54" s="27"/>
      <c r="AQ54" s="27"/>
      <c r="AR54" s="28"/>
      <c r="AS54" s="28"/>
      <c r="AT54" s="28"/>
      <c r="AU54" s="28"/>
    </row>
    <row r="55" spans="1:47" ht="20.25">
      <c r="A55" s="201">
        <f t="shared" si="1"/>
        <v>10</v>
      </c>
      <c r="B55" s="343">
        <v>42794</v>
      </c>
      <c r="C55" s="198"/>
      <c r="D55" s="200">
        <f>IF(B55&lt;&gt;"",(-'computation sheet'!$C$36/$H$9),"")</f>
        <v>7916.9180263654343</v>
      </c>
      <c r="E55" s="206">
        <f>'Semi Monthly 3 SL'!E54:F54</f>
        <v>540.35793524558505</v>
      </c>
      <c r="F55" s="205">
        <f>IF(NOT(A55=AA38),D55-E55,"")</f>
        <v>7376.5600911198489</v>
      </c>
      <c r="G55" s="424"/>
      <c r="H55" s="425"/>
      <c r="I55" s="202">
        <f t="shared" si="0"/>
        <v>15293.47811748528</v>
      </c>
      <c r="J55" s="54"/>
      <c r="K55" s="135" t="e">
        <f t="shared" si="2"/>
        <v>#VALUE!</v>
      </c>
      <c r="L55" s="32" t="e">
        <f t="shared" si="3"/>
        <v>#VALUE!</v>
      </c>
      <c r="M55" s="8"/>
      <c r="N55" s="8"/>
      <c r="O55" s="8"/>
      <c r="P55" s="8"/>
      <c r="Q55" s="8"/>
      <c r="T55" s="3"/>
      <c r="AI55" s="27"/>
      <c r="AJ55" s="27"/>
      <c r="AK55" s="27"/>
      <c r="AL55" s="27"/>
      <c r="AM55" s="27"/>
      <c r="AN55" s="27"/>
      <c r="AO55" s="27"/>
      <c r="AP55" s="27"/>
      <c r="AQ55" s="27"/>
      <c r="AR55" s="28"/>
      <c r="AS55" s="28"/>
      <c r="AT55" s="28"/>
      <c r="AU55" s="28"/>
    </row>
    <row r="56" spans="1:47" ht="20.25">
      <c r="A56" s="201">
        <f t="shared" si="1"/>
        <v>11</v>
      </c>
      <c r="B56" s="342">
        <v>42809</v>
      </c>
      <c r="C56" s="198"/>
      <c r="D56" s="200">
        <f>IF(B56&lt;&gt;"",(-'computation sheet'!$C$36/$H$9),"")</f>
        <v>7916.9180263654343</v>
      </c>
      <c r="E56" s="206">
        <f>'Semi Monthly 3 SL'!E55:F55</f>
        <v>360.23862349705666</v>
      </c>
      <c r="F56" s="205">
        <f t="shared" ref="F56:F60" si="4">IF(NOT(A56=AA39),D56-E56,"")</f>
        <v>7556.679402868378</v>
      </c>
      <c r="G56" s="424"/>
      <c r="H56" s="425"/>
      <c r="I56" s="202">
        <f t="shared" si="0"/>
        <v>7736.7987146169016</v>
      </c>
      <c r="J56" s="54"/>
      <c r="K56" s="135" t="e">
        <f t="shared" si="2"/>
        <v>#VALUE!</v>
      </c>
      <c r="L56" s="32" t="e">
        <f t="shared" si="3"/>
        <v>#VALUE!</v>
      </c>
      <c r="M56" s="8"/>
      <c r="N56" s="8"/>
      <c r="O56" s="8"/>
      <c r="P56" s="8"/>
      <c r="Q56" s="8"/>
      <c r="T56" s="3"/>
      <c r="AI56" s="27"/>
      <c r="AJ56" s="27"/>
      <c r="AK56" s="27"/>
      <c r="AL56" s="27"/>
      <c r="AM56" s="27"/>
      <c r="AN56" s="27"/>
      <c r="AO56" s="27"/>
      <c r="AP56" s="27"/>
      <c r="AQ56" s="27"/>
      <c r="AR56" s="28"/>
      <c r="AS56" s="28"/>
      <c r="AT56" s="28"/>
      <c r="AU56" s="28"/>
    </row>
    <row r="57" spans="1:47" ht="20.25">
      <c r="A57" s="201">
        <f t="shared" si="1"/>
        <v>12</v>
      </c>
      <c r="B57" s="342">
        <v>42824</v>
      </c>
      <c r="C57" s="198"/>
      <c r="D57" s="200">
        <f>IF(B57&lt;&gt;"",(-'computation sheet'!$C$36/$H$9),"")</f>
        <v>7916.9180263654343</v>
      </c>
      <c r="E57" s="206">
        <f>'Semi Monthly 3 SL'!E56:F56</f>
        <v>180.11931174852833</v>
      </c>
      <c r="F57" s="205">
        <f t="shared" si="4"/>
        <v>7736.7987146169062</v>
      </c>
      <c r="G57" s="424"/>
      <c r="H57" s="425"/>
      <c r="I57" s="202">
        <f t="shared" si="0"/>
        <v>-4.5474735088646412E-12</v>
      </c>
      <c r="J57" s="199"/>
      <c r="K57" s="135" t="e">
        <f t="shared" si="2"/>
        <v>#VALUE!</v>
      </c>
      <c r="L57" s="32" t="e">
        <f t="shared" si="3"/>
        <v>#VALUE!</v>
      </c>
      <c r="M57" s="8"/>
      <c r="N57" s="8"/>
      <c r="O57" s="8"/>
      <c r="P57" s="8"/>
      <c r="Q57" s="8"/>
      <c r="T57" s="3"/>
      <c r="AI57" s="27"/>
      <c r="AJ57" s="27"/>
      <c r="AK57" s="27"/>
      <c r="AL57" s="27"/>
      <c r="AM57" s="27"/>
      <c r="AN57" s="27"/>
      <c r="AO57" s="27"/>
      <c r="AP57" s="27"/>
      <c r="AQ57" s="27"/>
      <c r="AR57" s="28"/>
      <c r="AS57" s="28"/>
      <c r="AT57" s="28"/>
      <c r="AU57" s="28"/>
    </row>
    <row r="58" spans="1:47" ht="20.25">
      <c r="A58" s="201" t="str">
        <f t="shared" si="1"/>
        <v/>
      </c>
      <c r="B58" s="342" t="str">
        <f>'Semi Monthly SL'!B54</f>
        <v/>
      </c>
      <c r="C58" s="198"/>
      <c r="D58" s="200" t="str">
        <f>IF(B58&lt;&gt;"",(-'computation sheet'!$C$36/$H$9),"")</f>
        <v/>
      </c>
      <c r="E58" s="206" t="str">
        <f>'Semi Monthly SL'!E54</f>
        <v/>
      </c>
      <c r="F58" s="205" t="str">
        <f t="shared" si="4"/>
        <v/>
      </c>
      <c r="G58" s="424"/>
      <c r="H58" s="425"/>
      <c r="I58" s="202" t="str">
        <f t="shared" si="0"/>
        <v/>
      </c>
      <c r="J58" s="85"/>
      <c r="K58" s="135" t="e">
        <f t="shared" si="2"/>
        <v>#VALUE!</v>
      </c>
      <c r="L58" s="32" t="str">
        <f t="shared" si="3"/>
        <v/>
      </c>
      <c r="M58" s="8"/>
      <c r="N58" s="8"/>
      <c r="O58" s="8"/>
      <c r="P58" s="8"/>
      <c r="T58" s="3"/>
      <c r="AI58" s="27"/>
      <c r="AJ58" s="27"/>
      <c r="AK58" s="27"/>
      <c r="AL58" s="27"/>
      <c r="AM58" s="27"/>
      <c r="AN58" s="27"/>
      <c r="AO58" s="27"/>
      <c r="AP58" s="27"/>
      <c r="AQ58" s="27"/>
      <c r="AR58" s="28"/>
      <c r="AS58" s="28"/>
      <c r="AT58" s="28"/>
    </row>
    <row r="59" spans="1:47" ht="20.25">
      <c r="A59" s="201" t="str">
        <f t="shared" si="1"/>
        <v/>
      </c>
      <c r="B59" s="342" t="str">
        <f>'Semi Monthly SL'!B55</f>
        <v/>
      </c>
      <c r="C59" s="198"/>
      <c r="D59" s="200" t="str">
        <f>IF(B59&lt;&gt;"",(-'computation sheet'!$C$36/$H$9),"")</f>
        <v/>
      </c>
      <c r="E59" s="206" t="str">
        <f>'Semi Monthly SL'!E55</f>
        <v/>
      </c>
      <c r="F59" s="205" t="str">
        <f t="shared" si="4"/>
        <v/>
      </c>
      <c r="G59" s="424"/>
      <c r="H59" s="425"/>
      <c r="I59" s="202" t="str">
        <f t="shared" si="0"/>
        <v/>
      </c>
      <c r="J59" s="85"/>
      <c r="K59" s="135" t="e">
        <f t="shared" si="2"/>
        <v>#VALUE!</v>
      </c>
      <c r="L59" s="32" t="str">
        <f t="shared" si="3"/>
        <v/>
      </c>
      <c r="M59" s="8"/>
      <c r="N59" s="8"/>
      <c r="O59" s="8"/>
      <c r="P59" s="8"/>
      <c r="T59" s="3"/>
      <c r="AI59" s="27"/>
      <c r="AJ59" s="27"/>
      <c r="AK59" s="27"/>
      <c r="AL59" s="27"/>
      <c r="AM59" s="27"/>
      <c r="AN59" s="27"/>
      <c r="AO59" s="27"/>
      <c r="AP59" s="27"/>
      <c r="AQ59" s="27"/>
      <c r="AR59" s="28"/>
      <c r="AS59" s="28"/>
      <c r="AT59" s="28"/>
    </row>
    <row r="60" spans="1:47" ht="20.25">
      <c r="A60" s="201" t="str">
        <f t="shared" si="1"/>
        <v/>
      </c>
      <c r="B60" s="342" t="str">
        <f>'Semi Monthly SL'!B56</f>
        <v/>
      </c>
      <c r="C60" s="198"/>
      <c r="D60" s="200" t="str">
        <f>IF(B60&lt;&gt;"",(-'computation sheet'!$C$36/$H$9),"")</f>
        <v/>
      </c>
      <c r="E60" s="206" t="str">
        <f>'Semi Monthly SL'!E56</f>
        <v/>
      </c>
      <c r="F60" s="205" t="str">
        <f t="shared" si="4"/>
        <v/>
      </c>
      <c r="G60" s="424"/>
      <c r="H60" s="425"/>
      <c r="I60" s="202" t="str">
        <f t="shared" si="0"/>
        <v/>
      </c>
      <c r="J60" s="85"/>
      <c r="K60" s="135" t="e">
        <f t="shared" si="2"/>
        <v>#VALUE!</v>
      </c>
      <c r="L60" s="32" t="str">
        <f t="shared" si="3"/>
        <v/>
      </c>
      <c r="M60" s="8"/>
      <c r="N60" s="8"/>
      <c r="O60" s="8"/>
      <c r="P60" s="8"/>
      <c r="T60" s="3"/>
      <c r="AI60" s="27"/>
      <c r="AJ60" s="27"/>
      <c r="AK60" s="27"/>
      <c r="AL60" s="27"/>
      <c r="AM60" s="27"/>
      <c r="AN60" s="27"/>
      <c r="AO60" s="27"/>
      <c r="AP60" s="27"/>
      <c r="AQ60" s="27"/>
      <c r="AR60" s="28"/>
      <c r="AS60" s="28"/>
      <c r="AT60" s="28"/>
    </row>
    <row r="61" spans="1:47" ht="20.25">
      <c r="A61" s="203">
        <f>H9</f>
        <v>12</v>
      </c>
      <c r="B61" s="203"/>
      <c r="C61" s="203"/>
      <c r="D61" s="204">
        <f>SUM(D46:D60)</f>
        <v>95003.016316385183</v>
      </c>
      <c r="E61" s="204">
        <f>SUM(E46:E60)</f>
        <v>14049.306316385211</v>
      </c>
      <c r="F61" s="204">
        <f>SUM(F46:F60)</f>
        <v>80953.709999999992</v>
      </c>
      <c r="G61" s="426"/>
      <c r="H61" s="426"/>
      <c r="I61" s="204"/>
      <c r="J61" s="85"/>
      <c r="K61" s="136"/>
      <c r="L61" s="26"/>
      <c r="M61" s="8"/>
      <c r="N61" s="8"/>
      <c r="O61" s="8"/>
      <c r="P61" s="8"/>
      <c r="T61" s="3"/>
      <c r="AI61" s="27"/>
      <c r="AJ61" s="27"/>
      <c r="AK61" s="27"/>
      <c r="AL61" s="27"/>
      <c r="AM61" s="27"/>
      <c r="AN61" s="27"/>
      <c r="AO61" s="27"/>
      <c r="AP61" s="27"/>
      <c r="AQ61" s="27"/>
      <c r="AR61" s="28"/>
      <c r="AS61" s="28"/>
      <c r="AT61" s="28"/>
    </row>
    <row r="62" spans="1:47" ht="7.5" customHeight="1">
      <c r="A62" s="8"/>
      <c r="B62" s="8"/>
      <c r="C62" s="8"/>
      <c r="D62" s="8"/>
      <c r="E62" s="8"/>
      <c r="F62" s="34"/>
      <c r="G62" s="8"/>
      <c r="H62" s="34"/>
      <c r="I62" s="8"/>
      <c r="J62" s="8"/>
      <c r="K62" s="8"/>
      <c r="L62" s="8"/>
      <c r="M62" s="8"/>
      <c r="N62" s="8"/>
      <c r="O62" s="8"/>
      <c r="P62" s="8"/>
      <c r="Q62" s="8"/>
      <c r="R62" s="8"/>
    </row>
    <row r="63" spans="1:47" ht="22.5" customHeight="1">
      <c r="A63" s="399" t="str">
        <f>"Interest Rate of " &amp; (Contractual_Rate*100) &amp;"% is equivalent to the Add On Rate of " &amp; ROUND((((((Total_InterestRate/Principal_Amount)/Monthly_Inst))))*100,2) &amp; "% per Month"</f>
        <v>Interest Rate of 3.7% is equivalent to the Add On Rate of 2.17% per Month</v>
      </c>
      <c r="B63" s="399"/>
      <c r="C63" s="399"/>
      <c r="D63" s="399"/>
      <c r="E63" s="399"/>
      <c r="F63" s="399"/>
      <c r="G63" s="399"/>
      <c r="H63" s="399"/>
      <c r="I63" s="399"/>
      <c r="J63" s="8"/>
      <c r="K63" s="8"/>
      <c r="L63" s="8"/>
      <c r="N63" s="8"/>
      <c r="O63" s="8"/>
      <c r="P63" s="8"/>
      <c r="Q63" s="8"/>
      <c r="R63" s="8"/>
    </row>
    <row r="64" spans="1:47" ht="15" customHeight="1">
      <c r="A64" s="399"/>
      <c r="B64" s="399"/>
      <c r="C64" s="399"/>
      <c r="D64" s="399"/>
      <c r="E64" s="399"/>
      <c r="F64" s="399"/>
      <c r="G64" s="399"/>
      <c r="H64" s="399"/>
      <c r="I64" s="399"/>
      <c r="J64" s="8"/>
      <c r="K64" s="8"/>
      <c r="L64" s="8"/>
      <c r="M64" s="8"/>
      <c r="N64" s="8"/>
      <c r="O64" s="8"/>
      <c r="P64" s="8"/>
      <c r="Q64" s="8"/>
      <c r="R64" s="8"/>
    </row>
    <row r="65" spans="1:18" ht="20.25">
      <c r="A65" s="400" t="s">
        <v>124</v>
      </c>
      <c r="B65" s="401"/>
      <c r="C65" s="401"/>
      <c r="D65" s="402"/>
      <c r="E65" s="403" t="s">
        <v>53</v>
      </c>
      <c r="F65" s="404"/>
      <c r="G65" s="404"/>
      <c r="H65" s="404"/>
      <c r="I65" s="405"/>
      <c r="J65" s="8"/>
      <c r="K65" s="8"/>
      <c r="L65" s="8"/>
      <c r="M65" s="8"/>
      <c r="N65" s="8"/>
      <c r="O65" s="8"/>
      <c r="P65" s="8"/>
      <c r="Q65" s="8"/>
      <c r="R65" s="8"/>
    </row>
    <row r="66" spans="1:18" ht="17.25">
      <c r="A66" s="123"/>
      <c r="B66" s="113"/>
      <c r="C66" s="113"/>
      <c r="D66" s="124"/>
      <c r="E66" s="117"/>
      <c r="F66" s="117"/>
      <c r="G66" s="117"/>
      <c r="H66" s="113"/>
      <c r="I66" s="211"/>
      <c r="J66" s="10"/>
      <c r="K66" s="8"/>
      <c r="L66" s="8"/>
      <c r="M66" s="8"/>
      <c r="N66" s="8"/>
      <c r="O66" s="8"/>
      <c r="P66" s="8"/>
      <c r="Q66" s="8"/>
      <c r="R66" s="8"/>
    </row>
    <row r="67" spans="1:18" ht="17.25">
      <c r="A67" s="131"/>
      <c r="B67" s="166"/>
      <c r="C67" s="166"/>
      <c r="D67" s="126"/>
      <c r="E67" s="117"/>
      <c r="F67" s="117"/>
      <c r="G67" s="117"/>
      <c r="H67" s="113"/>
      <c r="I67" s="211"/>
      <c r="J67" s="10"/>
    </row>
    <row r="68" spans="1:18" ht="20.25">
      <c r="A68" s="400" t="s">
        <v>29</v>
      </c>
      <c r="B68" s="401"/>
      <c r="C68" s="401"/>
      <c r="D68" s="401"/>
      <c r="E68" s="400" t="s">
        <v>27</v>
      </c>
      <c r="F68" s="401"/>
      <c r="G68" s="401"/>
      <c r="H68" s="401"/>
      <c r="I68" s="210"/>
      <c r="J68" s="10"/>
    </row>
    <row r="69" spans="1:18" ht="17.25">
      <c r="A69" s="123"/>
      <c r="B69" s="113"/>
      <c r="C69" s="113"/>
      <c r="D69" s="113"/>
      <c r="E69" s="125"/>
      <c r="F69" s="117"/>
      <c r="G69" s="117"/>
      <c r="H69" s="113"/>
      <c r="I69" s="211"/>
      <c r="M69" s="10"/>
    </row>
    <row r="70" spans="1:18" ht="17.25">
      <c r="A70" s="131"/>
      <c r="B70" s="166"/>
      <c r="C70" s="166"/>
      <c r="D70" s="166"/>
      <c r="E70" s="127"/>
      <c r="F70" s="148"/>
      <c r="G70" s="148"/>
      <c r="H70" s="166"/>
      <c r="I70" s="212"/>
    </row>
    <row r="72" spans="1:18" ht="15.75">
      <c r="A72" s="40" t="s">
        <v>45</v>
      </c>
    </row>
    <row r="73" spans="1:18" ht="17.25">
      <c r="M73" s="10"/>
    </row>
  </sheetData>
  <sheetProtection insertColumns="0" insertRows="0" selectLockedCells="1"/>
  <mergeCells count="40">
    <mergeCell ref="G61:H61"/>
    <mergeCell ref="A63:I64"/>
    <mergeCell ref="A65:D65"/>
    <mergeCell ref="E65:I65"/>
    <mergeCell ref="A68:D68"/>
    <mergeCell ref="E68:H68"/>
    <mergeCell ref="G60:H60"/>
    <mergeCell ref="G49:H49"/>
    <mergeCell ref="G50:H50"/>
    <mergeCell ref="G51:H51"/>
    <mergeCell ref="G52:H52"/>
    <mergeCell ref="G53:H53"/>
    <mergeCell ref="G54:H54"/>
    <mergeCell ref="G55:H55"/>
    <mergeCell ref="G56:H56"/>
    <mergeCell ref="G57:H57"/>
    <mergeCell ref="G58:H58"/>
    <mergeCell ref="G59:H59"/>
    <mergeCell ref="G48:H48"/>
    <mergeCell ref="A11:I11"/>
    <mergeCell ref="H25:I25"/>
    <mergeCell ref="A38:I38"/>
    <mergeCell ref="A40:B40"/>
    <mergeCell ref="C40:D40"/>
    <mergeCell ref="A41:B41"/>
    <mergeCell ref="C41:D41"/>
    <mergeCell ref="G43:H43"/>
    <mergeCell ref="G44:H44"/>
    <mergeCell ref="G45:H45"/>
    <mergeCell ref="G46:H46"/>
    <mergeCell ref="G47:H47"/>
    <mergeCell ref="C20:D22"/>
    <mergeCell ref="A6:B10"/>
    <mergeCell ref="C6:D8"/>
    <mergeCell ref="F9:G9"/>
    <mergeCell ref="A2:I2"/>
    <mergeCell ref="A4:I4"/>
    <mergeCell ref="A5:B5"/>
    <mergeCell ref="C5:D5"/>
    <mergeCell ref="E5:F5"/>
  </mergeCells>
  <printOptions horizontalCentered="1"/>
  <pageMargins left="0.16" right="0.17" top="0" bottom="0.22" header="0.12" footer="0.17"/>
  <pageSetup paperSize="5" scale="54" orientation="portrait" horizontalDpi="120" verticalDpi="72"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tabColor rgb="FFFF0000"/>
  </sheetPr>
  <dimension ref="A1:IV87"/>
  <sheetViews>
    <sheetView showGridLines="0" topLeftCell="A25" zoomScale="85" zoomScaleNormal="85" workbookViewId="0">
      <selection activeCell="C45" sqref="C45"/>
    </sheetView>
  </sheetViews>
  <sheetFormatPr defaultRowHeight="13.5"/>
  <cols>
    <col min="1" max="1" width="12.7109375" style="3" customWidth="1"/>
    <col min="2" max="2" width="13.7109375" style="3" customWidth="1"/>
    <col min="3" max="3" width="28.85546875" style="3" customWidth="1"/>
    <col min="4" max="4" width="19.28515625" style="3" customWidth="1"/>
    <col min="5" max="5" width="20.140625" style="3" customWidth="1"/>
    <col min="6" max="6" width="19.42578125" style="3" customWidth="1"/>
    <col min="7" max="7" width="11.85546875" style="3" customWidth="1"/>
    <col min="8" max="8" width="20" style="3" customWidth="1"/>
    <col min="9" max="9" width="17.42578125" style="3" customWidth="1"/>
    <col min="10" max="10" width="81.140625" style="3" customWidth="1"/>
    <col min="11" max="11" width="18.5703125" style="3" bestFit="1" customWidth="1"/>
    <col min="12" max="12" width="19.42578125" style="3" bestFit="1" customWidth="1"/>
    <col min="13" max="13" width="13.140625" style="3" customWidth="1"/>
    <col min="14" max="14" width="13.7109375" style="3" bestFit="1" customWidth="1"/>
    <col min="15" max="15" width="15" style="3" customWidth="1"/>
    <col min="16" max="18" width="13.140625" style="3" customWidth="1"/>
    <col min="19" max="19" width="11.140625" style="3" customWidth="1"/>
    <col min="20" max="20" width="9.140625" style="4"/>
    <col min="21" max="21" width="19.7109375" style="3" customWidth="1"/>
    <col min="22" max="22" width="9.140625" style="3"/>
    <col min="23" max="23" width="9.28515625" style="3" customWidth="1"/>
    <col min="24" max="24" width="9.140625" style="3"/>
    <col min="25" max="25" width="19.42578125" style="3" bestFit="1" customWidth="1"/>
    <col min="26" max="16384" width="9.140625" style="3"/>
  </cols>
  <sheetData>
    <row r="1" spans="1:256" ht="7.5" customHeight="1"/>
    <row r="2" spans="1:256" ht="57" customHeight="1">
      <c r="A2" s="224"/>
      <c r="B2" s="224"/>
      <c r="C2" s="224"/>
      <c r="D2" s="224"/>
      <c r="E2" s="224"/>
      <c r="F2" s="224"/>
      <c r="G2" s="224"/>
      <c r="H2" s="224"/>
      <c r="I2" s="224"/>
      <c r="J2" s="5"/>
      <c r="K2" s="5"/>
      <c r="L2" s="5"/>
      <c r="M2" s="5"/>
      <c r="N2" s="5"/>
      <c r="O2" s="5"/>
      <c r="P2" s="5"/>
      <c r="Q2" s="5"/>
      <c r="R2" s="5"/>
    </row>
    <row r="3" spans="1:256" ht="18.75" customHeight="1">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row>
    <row r="4" spans="1:256">
      <c r="A4" s="431"/>
      <c r="B4" s="431"/>
      <c r="C4" s="431"/>
      <c r="D4" s="431"/>
      <c r="E4" s="431"/>
      <c r="F4" s="431"/>
      <c r="G4" s="431"/>
      <c r="H4" s="431"/>
      <c r="I4" s="431"/>
      <c r="J4" s="6"/>
      <c r="K4" s="6"/>
      <c r="L4" s="6"/>
      <c r="M4" s="6"/>
      <c r="N4" s="6"/>
      <c r="O4" s="6"/>
      <c r="P4" s="6"/>
      <c r="Q4" s="6"/>
      <c r="R4" s="6"/>
    </row>
    <row r="5" spans="1:256">
      <c r="A5" s="431"/>
      <c r="B5" s="431"/>
      <c r="C5" s="431"/>
      <c r="D5" s="431"/>
      <c r="E5" s="431"/>
      <c r="F5" s="431"/>
      <c r="G5" s="431"/>
      <c r="H5" s="431"/>
      <c r="I5" s="431"/>
      <c r="J5" s="6"/>
      <c r="K5" s="6"/>
      <c r="L5" s="6"/>
      <c r="M5" s="6"/>
      <c r="N5" s="6"/>
      <c r="O5" s="6"/>
      <c r="P5" s="6"/>
      <c r="Q5" s="6"/>
      <c r="R5" s="6"/>
    </row>
    <row r="6" spans="1:256">
      <c r="A6" s="431"/>
      <c r="B6" s="431"/>
      <c r="C6" s="431"/>
      <c r="D6" s="431"/>
      <c r="E6" s="431"/>
      <c r="F6" s="431"/>
      <c r="G6" s="431"/>
      <c r="H6" s="431"/>
      <c r="I6" s="431"/>
      <c r="J6" s="6"/>
      <c r="K6" s="6"/>
      <c r="L6" s="6"/>
      <c r="M6" s="6"/>
      <c r="N6" s="6"/>
      <c r="O6" s="6"/>
      <c r="P6" s="6"/>
      <c r="Q6" s="6"/>
      <c r="R6" s="6"/>
    </row>
    <row r="7" spans="1:256" ht="20.25">
      <c r="A7" s="54"/>
      <c r="B7" s="54"/>
      <c r="C7" s="54"/>
      <c r="D7" s="54"/>
      <c r="E7" s="54"/>
      <c r="F7" s="54"/>
      <c r="G7" s="54"/>
      <c r="H7" s="54"/>
      <c r="I7" s="54"/>
    </row>
    <row r="8" spans="1:256" ht="35.25" customHeight="1">
      <c r="A8" s="437" t="str">
        <f>UPPER("Computation Sheet and Payment Schedule")</f>
        <v>COMPUTATION SHEET AND PAYMENT SCHEDULE</v>
      </c>
      <c r="B8" s="437"/>
      <c r="C8" s="437"/>
      <c r="D8" s="437"/>
      <c r="E8" s="437"/>
      <c r="F8" s="437"/>
      <c r="G8" s="437"/>
      <c r="H8" s="437"/>
      <c r="I8" s="437"/>
      <c r="J8" s="7"/>
      <c r="K8" s="7"/>
      <c r="L8" s="7"/>
      <c r="M8" s="7"/>
      <c r="N8" s="7"/>
      <c r="O8" s="7"/>
      <c r="P8" s="7"/>
      <c r="Q8" s="7"/>
      <c r="R8" s="7"/>
    </row>
    <row r="9" spans="1:256" ht="18" customHeight="1">
      <c r="A9" s="415" t="s">
        <v>0</v>
      </c>
      <c r="B9" s="415"/>
      <c r="C9" s="41" t="s">
        <v>1</v>
      </c>
      <c r="D9" s="43"/>
      <c r="E9" s="416" t="s">
        <v>2</v>
      </c>
      <c r="F9" s="416"/>
      <c r="G9" s="43"/>
      <c r="H9" s="43" t="s">
        <v>3</v>
      </c>
      <c r="I9" s="44"/>
      <c r="J9" s="8"/>
      <c r="K9" s="8"/>
      <c r="L9" s="8"/>
      <c r="M9" s="8"/>
      <c r="N9" s="8"/>
      <c r="O9" s="8"/>
      <c r="P9" s="8"/>
      <c r="Q9" s="8"/>
      <c r="R9" s="8"/>
    </row>
    <row r="10" spans="1:256" ht="22.5" customHeight="1">
      <c r="A10" s="418" t="str">
        <f>IF(OR_NAME&lt;&gt;"",Client_Name &amp;" or " &amp; OR_NAME,Client_Name)</f>
        <v>** or **</v>
      </c>
      <c r="B10" s="418"/>
      <c r="C10" s="418" t="str">
        <f>PROPER('Master data Input'!C8)</f>
        <v>**</v>
      </c>
      <c r="D10" s="418"/>
      <c r="E10" s="45"/>
      <c r="F10" s="42" t="str">
        <f>Type_of_Loan&amp;TEXT(IF(Express="YES","-EXPRESS",""),"")</f>
        <v>SML</v>
      </c>
      <c r="G10" s="42"/>
      <c r="H10" s="42" t="s">
        <v>5</v>
      </c>
      <c r="I10" s="47">
        <f>DATEDIF(Start_Payment,Maturitydate,"d")/30</f>
        <v>7.1333333333333337</v>
      </c>
      <c r="J10" s="9">
        <f>Terms</f>
        <v>7.1333333333333337</v>
      </c>
      <c r="K10" s="9"/>
      <c r="L10" s="10"/>
      <c r="M10" s="10"/>
      <c r="N10" s="10"/>
      <c r="O10" s="10"/>
      <c r="P10" s="10"/>
      <c r="Q10" s="10"/>
      <c r="R10" s="10"/>
    </row>
    <row r="11" spans="1:256" ht="33.75" customHeight="1">
      <c r="A11" s="418"/>
      <c r="B11" s="418"/>
      <c r="C11" s="418"/>
      <c r="D11" s="418"/>
      <c r="E11" s="42"/>
      <c r="F11" s="48" t="s">
        <v>30</v>
      </c>
      <c r="G11" s="49">
        <f>Interest</f>
        <v>0.03</v>
      </c>
      <c r="H11" s="45" t="s">
        <v>56</v>
      </c>
      <c r="I11" s="45" t="s">
        <v>4</v>
      </c>
      <c r="J11" s="10"/>
      <c r="K11" s="10"/>
      <c r="L11" s="10"/>
      <c r="M11" s="10"/>
      <c r="N11" s="10"/>
      <c r="O11" s="10"/>
      <c r="P11" s="10"/>
      <c r="Q11" s="10"/>
      <c r="R11" s="10"/>
    </row>
    <row r="12" spans="1:256" ht="28.5" customHeight="1">
      <c r="A12" s="418" t="str">
        <f>IF(UPPER(OR_NAME)&lt;&gt;" ",UPPER(OR_NAME),".")</f>
        <v>**</v>
      </c>
      <c r="B12" s="418"/>
      <c r="C12" s="418"/>
      <c r="D12" s="418"/>
      <c r="E12" s="42"/>
      <c r="F12" s="42"/>
      <c r="G12" s="48"/>
      <c r="H12" s="102">
        <f>Date_Released</f>
        <v>46083</v>
      </c>
      <c r="I12" s="103">
        <f>MaturityDate_data_input</f>
        <v>46342</v>
      </c>
      <c r="K12" s="11"/>
      <c r="L12" s="11"/>
      <c r="M12" s="11">
        <f>'Master data Input'!F30</f>
        <v>46342</v>
      </c>
      <c r="N12" s="11" t="s">
        <v>68</v>
      </c>
      <c r="O12" s="12">
        <f>I10</f>
        <v>7.1333333333333337</v>
      </c>
      <c r="P12" s="11"/>
      <c r="Q12" s="11"/>
      <c r="R12" s="11"/>
    </row>
    <row r="13" spans="1:256" ht="18.75" customHeight="1">
      <c r="A13" s="418"/>
      <c r="B13" s="418"/>
      <c r="C13" s="52"/>
      <c r="D13" s="52"/>
      <c r="E13" s="42"/>
      <c r="F13" s="48" t="s">
        <v>31</v>
      </c>
      <c r="G13" s="53">
        <f>Number_of_Amortization</f>
        <v>8</v>
      </c>
      <c r="H13" s="45"/>
      <c r="I13" s="54"/>
      <c r="J13" s="8"/>
      <c r="K13" s="8"/>
      <c r="L13" s="8"/>
      <c r="M13" s="8"/>
      <c r="N13" s="8"/>
      <c r="O13" s="8"/>
      <c r="P13" s="8"/>
      <c r="Q13" s="8"/>
      <c r="R13" s="8"/>
    </row>
    <row r="14" spans="1:256" ht="20.25">
      <c r="A14" s="418"/>
      <c r="B14" s="418"/>
      <c r="C14" s="42"/>
      <c r="D14" s="42"/>
      <c r="E14" s="42"/>
      <c r="F14" s="42"/>
      <c r="G14" s="42"/>
      <c r="H14" s="54"/>
      <c r="I14" s="54"/>
      <c r="J14" s="8"/>
      <c r="K14" s="8"/>
      <c r="L14" s="8"/>
      <c r="M14" s="13">
        <f>IF(U27&lt;H12,H12,U27)</f>
        <v>46098</v>
      </c>
      <c r="N14" s="8"/>
      <c r="O14" s="8"/>
      <c r="P14" s="8"/>
      <c r="Q14" s="8"/>
      <c r="R14" s="8"/>
    </row>
    <row r="15" spans="1:256" ht="20.25">
      <c r="A15" s="435" t="s">
        <v>6</v>
      </c>
      <c r="B15" s="435"/>
      <c r="C15" s="435"/>
      <c r="D15" s="435"/>
      <c r="E15" s="435"/>
      <c r="F15" s="435"/>
      <c r="G15" s="435"/>
      <c r="H15" s="435"/>
      <c r="I15" s="435"/>
      <c r="J15" s="14"/>
      <c r="K15" s="14"/>
      <c r="L15" s="14"/>
      <c r="M15" s="14"/>
      <c r="N15" s="14"/>
      <c r="O15" s="14"/>
      <c r="P15" s="14"/>
      <c r="Q15" s="14"/>
      <c r="R15" s="14"/>
    </row>
    <row r="16" spans="1:256" ht="20.25">
      <c r="A16" s="54"/>
      <c r="B16" s="54"/>
      <c r="C16" s="54"/>
      <c r="D16" s="54"/>
      <c r="E16" s="54"/>
      <c r="F16" s="54"/>
      <c r="G16" s="54"/>
      <c r="H16" s="54"/>
      <c r="I16" s="54"/>
      <c r="J16" s="8"/>
      <c r="K16" s="8"/>
      <c r="L16" s="8"/>
      <c r="M16" s="8"/>
      <c r="N16" s="8"/>
      <c r="O16" s="8"/>
      <c r="P16" s="8"/>
      <c r="Q16" s="8"/>
      <c r="R16" s="8"/>
      <c r="W16" s="3">
        <v>7</v>
      </c>
    </row>
    <row r="17" spans="1:24" ht="20.25">
      <c r="A17" s="55" t="s">
        <v>99</v>
      </c>
      <c r="B17" s="54"/>
      <c r="C17" s="54"/>
      <c r="D17" s="54"/>
      <c r="E17" s="54"/>
      <c r="F17" s="56">
        <f>Loan_Amount</f>
        <v>80953.710000000006</v>
      </c>
      <c r="G17" s="54"/>
      <c r="H17" s="54"/>
      <c r="I17" s="54"/>
      <c r="J17" s="8"/>
      <c r="K17" s="8"/>
      <c r="L17" s="8"/>
      <c r="M17" s="8"/>
      <c r="N17" s="8"/>
      <c r="O17" s="8"/>
      <c r="P17" s="8"/>
      <c r="Q17" s="8"/>
      <c r="R17" s="8"/>
    </row>
    <row r="18" spans="1:24" ht="20.25">
      <c r="A18" s="54"/>
      <c r="B18" s="54"/>
      <c r="C18" s="54"/>
      <c r="D18" s="54"/>
      <c r="E18" s="54"/>
      <c r="F18" s="57"/>
      <c r="G18" s="54"/>
      <c r="H18" s="54"/>
      <c r="I18" s="54"/>
      <c r="J18" s="8"/>
      <c r="K18" s="8"/>
      <c r="L18" s="8"/>
      <c r="M18" s="8"/>
      <c r="N18" s="8"/>
      <c r="O18" s="8"/>
      <c r="P18" s="8"/>
      <c r="Q18" s="8"/>
      <c r="R18" s="8"/>
    </row>
    <row r="19" spans="1:24" ht="20.25">
      <c r="A19" s="54" t="s">
        <v>7</v>
      </c>
      <c r="B19" s="54"/>
      <c r="C19" s="54"/>
      <c r="D19" s="54"/>
      <c r="E19" s="54"/>
      <c r="F19" s="57"/>
      <c r="G19" s="54" t="s">
        <v>106</v>
      </c>
      <c r="H19" s="54"/>
      <c r="I19" s="58" t="str">
        <f>IF(I20&gt;0,"NO", "YES")</f>
        <v>NO</v>
      </c>
      <c r="J19" s="8"/>
      <c r="K19" s="8"/>
      <c r="L19" s="8"/>
      <c r="M19" s="8"/>
      <c r="N19" s="8"/>
      <c r="O19" s="8"/>
      <c r="P19" s="8"/>
      <c r="Q19" s="8"/>
      <c r="R19" s="8"/>
    </row>
    <row r="20" spans="1:24" ht="20.25">
      <c r="A20" s="54" t="s">
        <v>8</v>
      </c>
      <c r="B20" s="59">
        <f>Interest</f>
        <v>0.03</v>
      </c>
      <c r="C20" s="54" t="str">
        <f>"from"&amp;TEXT(Date_Released," mm/dd/yyyy")&amp;" to "&amp;TEXT(Date_released2," mm/dd/yyyy")</f>
        <v>from 03/02/2026 to  03/17/2026</v>
      </c>
      <c r="D20" s="54"/>
      <c r="E20" s="60">
        <f>IF(Type_of_Loan="BL-SA",ROUND(Principal_Amount*(Interest/30)*DATEDIF(Date_Released,MaturityDate1,"D"),0),ROUND(Principal_Amount*(Interest/30)*DATEDIF(Date_Released,Date_released2,"d"),0))</f>
        <v>1214</v>
      </c>
      <c r="F20" s="61"/>
      <c r="G20" s="54" t="s">
        <v>14</v>
      </c>
      <c r="H20" s="54"/>
      <c r="I20" s="62" t="str">
        <f>'Master data Input'!C18</f>
        <v>No</v>
      </c>
      <c r="J20" s="15">
        <f>E20+D43/B43-(360/DATEDIF(H12,I12,"d"))</f>
        <v>1212.8540422511317</v>
      </c>
      <c r="K20" s="8"/>
      <c r="L20" s="8">
        <f>DATEDIF(H12,C45,"d")</f>
        <v>45</v>
      </c>
      <c r="M20" s="8" t="s">
        <v>47</v>
      </c>
      <c r="N20" s="8"/>
      <c r="O20" s="8"/>
      <c r="P20" s="8"/>
      <c r="Q20" s="8"/>
      <c r="R20" s="8"/>
    </row>
    <row r="21" spans="1:24" ht="20.25">
      <c r="A21" s="54" t="s">
        <v>98</v>
      </c>
      <c r="B21" s="54"/>
      <c r="C21" s="64">
        <f>Processing_Fee_in_Percentage</f>
        <v>7.4999999999999997E-2</v>
      </c>
      <c r="D21" s="54"/>
      <c r="E21" s="65">
        <f>Processing_Fee_in_Percentage*Principal_Amount</f>
        <v>6071.5282500000003</v>
      </c>
      <c r="F21" s="57"/>
      <c r="G21" s="54" t="s">
        <v>95</v>
      </c>
      <c r="H21" s="54"/>
      <c r="I21" s="66" t="str">
        <f>Installment_Type</f>
        <v>Monthly</v>
      </c>
      <c r="J21" s="8"/>
      <c r="K21" s="8"/>
      <c r="L21" s="8">
        <f>DATEDIF(H12,M14,"D")</f>
        <v>15</v>
      </c>
      <c r="M21" s="8"/>
      <c r="N21" s="8"/>
      <c r="O21" s="8"/>
      <c r="P21" s="8"/>
      <c r="Q21" s="8"/>
      <c r="R21" s="8"/>
      <c r="U21" s="16"/>
    </row>
    <row r="22" spans="1:24" ht="20.25">
      <c r="A22" s="54" t="s">
        <v>50</v>
      </c>
      <c r="B22" s="54"/>
      <c r="C22" s="64"/>
      <c r="D22" s="54"/>
      <c r="E22" s="65" t="str">
        <f>Account_Management_fee</f>
        <v>Auto compute**</v>
      </c>
      <c r="F22" s="57"/>
      <c r="G22" s="54"/>
      <c r="H22" s="54"/>
      <c r="I22" s="54"/>
      <c r="J22" s="8"/>
      <c r="K22" s="8"/>
      <c r="L22" s="8"/>
      <c r="M22" s="8"/>
      <c r="N22" s="8"/>
      <c r="O22" s="8"/>
      <c r="P22" s="8"/>
      <c r="Q22" s="8"/>
      <c r="R22" s="8"/>
      <c r="U22" s="16"/>
    </row>
    <row r="23" spans="1:24" ht="20.25">
      <c r="A23" s="54" t="s">
        <v>11</v>
      </c>
      <c r="B23" s="54"/>
      <c r="C23" s="64"/>
      <c r="D23" s="54"/>
      <c r="E23" s="70">
        <f>Notarial_Fee</f>
        <v>500</v>
      </c>
      <c r="F23" s="57"/>
      <c r="G23" s="54"/>
      <c r="H23" s="54"/>
      <c r="I23" s="54"/>
      <c r="J23" s="8"/>
      <c r="K23" s="8"/>
      <c r="L23" s="8"/>
      <c r="M23" s="8"/>
      <c r="N23" s="8"/>
      <c r="O23" s="8"/>
      <c r="P23" s="8"/>
      <c r="Q23" s="8"/>
      <c r="R23" s="8"/>
      <c r="U23" s="16"/>
    </row>
    <row r="24" spans="1:24" ht="20.25">
      <c r="A24" s="54" t="s">
        <v>42</v>
      </c>
      <c r="B24" s="54"/>
      <c r="C24" s="64"/>
      <c r="D24" s="54"/>
      <c r="E24" s="70">
        <f>IF(Docfee_Yes_or_No="YES",ROUNDUP(Principal_Amount/200,0),0)</f>
        <v>0</v>
      </c>
      <c r="F24" s="57"/>
      <c r="G24" s="54"/>
      <c r="H24" s="54"/>
      <c r="I24" s="54"/>
      <c r="J24" s="8"/>
      <c r="K24" s="8"/>
      <c r="L24" s="8"/>
      <c r="M24" s="8"/>
      <c r="N24" s="8"/>
      <c r="O24" s="8"/>
      <c r="P24" s="8"/>
      <c r="Q24" s="8"/>
      <c r="R24" s="8"/>
      <c r="U24" s="16"/>
    </row>
    <row r="25" spans="1:24" ht="20.25">
      <c r="A25" s="54" t="str">
        <f>'Master data Input'!B42</f>
        <v>MLRI -Insurance</v>
      </c>
      <c r="E25" s="228" t="str">
        <f>Insurance</f>
        <v>Auto compute**</v>
      </c>
      <c r="F25" s="57"/>
      <c r="G25" s="54"/>
      <c r="H25" s="54"/>
      <c r="I25" s="54"/>
      <c r="J25" s="8"/>
      <c r="K25" s="8"/>
      <c r="L25" s="8"/>
      <c r="M25" s="8"/>
      <c r="N25" s="8"/>
      <c r="O25" s="8"/>
      <c r="P25" s="8"/>
      <c r="Q25" s="8"/>
      <c r="R25" s="8"/>
      <c r="U25" s="16"/>
    </row>
    <row r="26" spans="1:24" ht="20.25">
      <c r="A26" s="54" t="str">
        <f>'Master data Input'!B45</f>
        <v>Miscellaneous</v>
      </c>
      <c r="B26" s="54"/>
      <c r="C26" s="64"/>
      <c r="D26" s="54"/>
      <c r="E26" s="70">
        <f>'Master data Input'!C45</f>
        <v>500</v>
      </c>
      <c r="F26" s="57"/>
      <c r="G26" s="54" t="s">
        <v>15</v>
      </c>
      <c r="H26" s="54"/>
      <c r="I26" s="58"/>
      <c r="J26" s="8"/>
      <c r="K26" s="8"/>
      <c r="L26" s="8">
        <f>DATEDIF(M14,M12,"D")</f>
        <v>244</v>
      </c>
      <c r="M26" s="8"/>
      <c r="N26" s="8"/>
      <c r="O26" s="8"/>
      <c r="P26" s="8"/>
      <c r="Q26" s="8"/>
      <c r="R26" s="8"/>
    </row>
    <row r="27" spans="1:24" ht="21" thickBot="1">
      <c r="A27" s="55" t="s">
        <v>9</v>
      </c>
      <c r="B27" s="54"/>
      <c r="C27" s="54"/>
      <c r="D27" s="54"/>
      <c r="E27" s="67">
        <f>SUM(E20:E26)</f>
        <v>8285.5282499999994</v>
      </c>
      <c r="F27" s="57"/>
      <c r="G27" s="54"/>
      <c r="H27" s="54"/>
      <c r="I27" s="54"/>
      <c r="J27" s="8"/>
      <c r="K27" s="8"/>
      <c r="L27" s="8">
        <f>DATEDIF(H12,M12,"D")</f>
        <v>259</v>
      </c>
      <c r="M27" s="8"/>
      <c r="N27" s="8"/>
      <c r="O27" s="8"/>
      <c r="P27" s="8"/>
      <c r="Q27" s="8"/>
      <c r="R27" s="8"/>
      <c r="U27" s="16">
        <f>DATE(YEAR(C45),MONTH(C45),DAY(C45)-30)</f>
        <v>46098</v>
      </c>
    </row>
    <row r="28" spans="1:24" ht="21" thickTop="1">
      <c r="A28" s="68" t="s">
        <v>10</v>
      </c>
      <c r="B28" s="54"/>
      <c r="C28" s="54"/>
      <c r="D28" s="54"/>
      <c r="E28" s="54"/>
      <c r="F28" s="57"/>
      <c r="G28" s="54" t="s">
        <v>62</v>
      </c>
      <c r="H28" s="58" t="str">
        <f>"PN-"&amp;TEXT('Master data Input'!F10,"0000-  ")&amp;TEXT(" "," ")&amp;'Master data Input'!C14</f>
        <v>PN-. SML</v>
      </c>
      <c r="I28" s="58"/>
      <c r="J28" s="8"/>
      <c r="K28" s="8"/>
      <c r="L28" s="8"/>
      <c r="M28" s="8"/>
      <c r="N28" s="8"/>
      <c r="O28" s="8"/>
      <c r="P28" s="8"/>
      <c r="Q28" s="8"/>
      <c r="R28" s="8"/>
    </row>
    <row r="29" spans="1:24" ht="20.25">
      <c r="A29" s="54" t="str">
        <f>'Master data Input'!B12</f>
        <v>Outstanding Balance from previous loan</v>
      </c>
      <c r="B29" s="54"/>
      <c r="C29" s="54"/>
      <c r="D29" s="54"/>
      <c r="E29" s="69">
        <f>Outstanding_Balance_from_previous_loan</f>
        <v>0</v>
      </c>
      <c r="F29" s="57"/>
      <c r="G29" s="54"/>
      <c r="H29" s="54"/>
      <c r="I29" s="54"/>
      <c r="J29" s="8"/>
      <c r="K29" s="8"/>
      <c r="L29" s="8"/>
      <c r="M29" s="8"/>
      <c r="N29" s="8"/>
      <c r="O29" s="8"/>
      <c r="P29" s="8" t="str">
        <f>TEXT($L$20,"0")&amp;"/"&amp;TEXT($L$21,"0")&amp;"/"&amp;TEXT($L$26,"0")&amp;"/"&amp;TEXT($L$27,"0")</f>
        <v>45/15/244/259</v>
      </c>
      <c r="Q29" s="8"/>
      <c r="R29" s="8"/>
      <c r="X29" s="3">
        <f>45000*0.15*(305/360)</f>
        <v>5718.75</v>
      </c>
    </row>
    <row r="30" spans="1:24" ht="20.25">
      <c r="A30" s="54" t="s">
        <v>150</v>
      </c>
      <c r="B30" s="54"/>
      <c r="C30" s="54"/>
      <c r="D30" s="54"/>
      <c r="E30" s="69">
        <f>Advanced_Payment</f>
        <v>0</v>
      </c>
      <c r="F30" s="57"/>
      <c r="G30" s="54"/>
      <c r="H30" s="54"/>
      <c r="I30" s="54"/>
      <c r="J30" s="8"/>
      <c r="K30" s="8"/>
      <c r="L30" s="8">
        <f>DATEDIF(M14,C45,"d")</f>
        <v>30</v>
      </c>
      <c r="M30" s="8"/>
      <c r="N30" s="8"/>
      <c r="O30" s="8"/>
      <c r="P30" s="8"/>
      <c r="Q30" s="8"/>
      <c r="R30" s="8"/>
    </row>
    <row r="31" spans="1:24" ht="20.25">
      <c r="A31" s="54"/>
      <c r="B31" s="54"/>
      <c r="C31" s="54"/>
      <c r="D31" s="54"/>
      <c r="E31" s="70"/>
      <c r="F31" s="57"/>
      <c r="G31" s="54"/>
      <c r="H31" s="54"/>
      <c r="I31" s="54"/>
      <c r="J31" s="8"/>
      <c r="K31" s="8"/>
      <c r="L31" s="8"/>
      <c r="M31" s="8"/>
      <c r="N31" s="8"/>
      <c r="O31" s="8"/>
      <c r="P31" s="8"/>
      <c r="Q31" s="8"/>
      <c r="R31" s="8"/>
    </row>
    <row r="32" spans="1:24" ht="20.25">
      <c r="A32" s="54"/>
      <c r="B32" s="54"/>
      <c r="C32" s="54"/>
      <c r="D32" s="54"/>
      <c r="E32" s="70"/>
      <c r="F32" s="57"/>
      <c r="G32" s="54"/>
      <c r="H32" s="54"/>
      <c r="I32" s="54"/>
      <c r="J32" s="8"/>
      <c r="K32" s="8"/>
      <c r="L32" s="8"/>
      <c r="M32" s="17"/>
      <c r="N32" s="17"/>
      <c r="O32" s="8"/>
      <c r="P32" s="18"/>
      <c r="Q32" s="8"/>
      <c r="R32" s="8"/>
    </row>
    <row r="33" spans="1:61" ht="21" thickBot="1">
      <c r="A33" s="54"/>
      <c r="B33" s="54"/>
      <c r="C33" s="54"/>
      <c r="D33" s="54"/>
      <c r="E33" s="71"/>
      <c r="F33" s="72">
        <f>Total_Finance_Charge+SUM($E$29:$E$33)</f>
        <v>8285.5282499999994</v>
      </c>
      <c r="G33" s="54" t="s">
        <v>102</v>
      </c>
      <c r="H33" s="54"/>
      <c r="I33" s="225">
        <f>'Master data Input'!F42</f>
        <v>0</v>
      </c>
      <c r="J33" s="8"/>
      <c r="K33" s="8"/>
      <c r="L33" s="8"/>
      <c r="M33" s="8"/>
      <c r="N33" s="8"/>
      <c r="O33" s="8"/>
      <c r="P33" s="8"/>
      <c r="Q33" s="8"/>
      <c r="R33" s="8"/>
    </row>
    <row r="34" spans="1:61" ht="21" thickTop="1">
      <c r="A34" s="54"/>
      <c r="B34" s="54"/>
      <c r="C34" s="54"/>
      <c r="D34" s="54"/>
      <c r="E34" s="54"/>
      <c r="F34" s="57"/>
      <c r="G34" s="54"/>
      <c r="H34" s="54"/>
      <c r="I34" s="54"/>
      <c r="J34" s="8"/>
      <c r="K34" s="8"/>
      <c r="L34" s="8"/>
      <c r="M34" s="8"/>
      <c r="N34" s="8"/>
      <c r="O34" s="8"/>
      <c r="P34" s="8"/>
      <c r="Q34" s="8"/>
      <c r="R34" s="8"/>
    </row>
    <row r="35" spans="1:61" ht="21" thickBot="1">
      <c r="A35" s="54" t="s">
        <v>12</v>
      </c>
      <c r="B35" s="54"/>
      <c r="C35" s="54"/>
      <c r="D35" s="54"/>
      <c r="E35" s="54"/>
      <c r="F35" s="72">
        <f>Principal_Amount-Total_Deduction</f>
        <v>72668.181750000003</v>
      </c>
      <c r="G35" s="54"/>
      <c r="H35" s="54"/>
      <c r="I35" s="54"/>
      <c r="J35" s="8"/>
      <c r="K35" s="8"/>
      <c r="L35" s="8"/>
      <c r="M35" s="8" t="s">
        <v>48</v>
      </c>
      <c r="N35" s="8"/>
      <c r="O35" s="8"/>
      <c r="P35" s="8"/>
      <c r="Q35" s="8"/>
      <c r="R35" s="8"/>
      <c r="U35" s="3" t="s">
        <v>43</v>
      </c>
    </row>
    <row r="36" spans="1:61" ht="21" thickTop="1">
      <c r="A36" s="54"/>
      <c r="B36" s="54"/>
      <c r="C36" s="54"/>
      <c r="D36" s="54"/>
      <c r="E36" s="54"/>
      <c r="F36" s="57"/>
      <c r="G36" s="54"/>
      <c r="H36" s="54"/>
      <c r="I36" s="54"/>
      <c r="J36" s="8"/>
      <c r="K36" s="8"/>
      <c r="L36" s="8"/>
      <c r="M36" s="8"/>
      <c r="N36" s="8"/>
      <c r="O36" s="8"/>
      <c r="P36" s="8"/>
      <c r="Q36" s="8"/>
      <c r="R36" s="8"/>
    </row>
    <row r="37" spans="1:61" ht="21" thickBot="1">
      <c r="A37" s="54" t="s">
        <v>59</v>
      </c>
      <c r="B37" s="54"/>
      <c r="C37" s="54"/>
      <c r="D37" s="54"/>
      <c r="E37" s="54"/>
      <c r="F37" s="74">
        <f>IF(Grace_Period_Interest=0,(Grace_Period_Interest+Total_UII)/Amount_of_Loan/(DATEDIF(Date_Released,MaturityDate1,"d")/30),(Grace_Period_Interest+Total_UII)/Amount_of_Loan/Term_masterdatainput)</f>
        <v>3.2374983184834887E-2</v>
      </c>
      <c r="G37" s="54"/>
      <c r="H37" s="54"/>
      <c r="I37" s="54"/>
      <c r="J37" s="19"/>
      <c r="K37" s="8"/>
      <c r="L37" s="8"/>
      <c r="M37" s="8" t="s">
        <v>51</v>
      </c>
      <c r="N37" s="8"/>
      <c r="O37" s="8"/>
      <c r="P37" s="8"/>
      <c r="Q37" s="8"/>
      <c r="R37" s="8"/>
    </row>
    <row r="38" spans="1:61" ht="21.75" thickTop="1" thickBot="1">
      <c r="A38" s="54" t="s">
        <v>13</v>
      </c>
      <c r="B38" s="54"/>
      <c r="C38" s="54"/>
      <c r="D38" s="54"/>
      <c r="E38" s="54"/>
      <c r="F38" s="75">
        <f>Total_Finance_Charge/Principal_Amount</f>
        <v>0.10234896275908786</v>
      </c>
      <c r="G38" s="54" t="s">
        <v>16</v>
      </c>
      <c r="H38" s="54"/>
      <c r="I38" s="76">
        <f>Date_Released</f>
        <v>46083</v>
      </c>
      <c r="J38" s="20"/>
      <c r="K38" s="20"/>
      <c r="L38" s="20"/>
      <c r="M38" s="20"/>
      <c r="N38" s="20"/>
      <c r="O38" s="20"/>
      <c r="P38" s="20"/>
      <c r="Q38" s="20"/>
      <c r="R38" s="20"/>
    </row>
    <row r="39" spans="1:61" ht="21" thickTop="1">
      <c r="A39" s="54"/>
      <c r="B39" s="54"/>
      <c r="C39" s="54"/>
      <c r="D39" s="54"/>
      <c r="E39" s="54"/>
      <c r="F39" s="54"/>
      <c r="G39" s="54" t="s">
        <v>54</v>
      </c>
      <c r="H39" s="54" t="str">
        <f>UPPER(Agents)</f>
        <v/>
      </c>
      <c r="I39" s="54"/>
      <c r="J39" s="8"/>
      <c r="K39" s="8"/>
      <c r="L39" s="8"/>
      <c r="M39" s="8"/>
      <c r="N39" s="8"/>
      <c r="O39" s="8"/>
      <c r="P39" s="8"/>
      <c r="Q39" s="8"/>
      <c r="R39" s="8"/>
      <c r="Y39" s="21"/>
    </row>
    <row r="40" spans="1:61" ht="20.25">
      <c r="A40" s="435" t="s">
        <v>17</v>
      </c>
      <c r="B40" s="435"/>
      <c r="C40" s="435"/>
      <c r="D40" s="435"/>
      <c r="E40" s="435"/>
      <c r="F40" s="435"/>
      <c r="G40" s="435"/>
      <c r="H40" s="435"/>
      <c r="I40" s="435"/>
      <c r="J40" s="14"/>
      <c r="K40" s="14"/>
      <c r="L40" s="14"/>
      <c r="M40" s="14"/>
      <c r="N40" s="14"/>
      <c r="O40" s="14"/>
      <c r="P40" s="14"/>
      <c r="Q40" s="14"/>
      <c r="R40" s="14"/>
    </row>
    <row r="41" spans="1:61" ht="20.25">
      <c r="A41" s="54"/>
      <c r="B41" s="54"/>
      <c r="C41" s="54"/>
      <c r="D41" s="54"/>
      <c r="E41" s="54"/>
      <c r="F41" s="54"/>
      <c r="G41" s="54"/>
      <c r="H41" s="54"/>
      <c r="I41" s="54"/>
      <c r="J41" s="8"/>
      <c r="K41" s="8"/>
      <c r="L41" s="8"/>
      <c r="M41" s="8"/>
      <c r="N41" s="17">
        <f>D43+E20</f>
        <v>20967</v>
      </c>
      <c r="O41" s="17">
        <v>11667</v>
      </c>
      <c r="P41" s="8"/>
      <c r="Q41" s="8"/>
      <c r="R41" s="8"/>
    </row>
    <row r="42" spans="1:61" ht="20.25">
      <c r="A42" s="54"/>
      <c r="B42" s="104" t="s">
        <v>18</v>
      </c>
      <c r="C42" s="94"/>
      <c r="D42" s="104" t="s">
        <v>19</v>
      </c>
      <c r="E42" s="94"/>
      <c r="F42" s="421" t="s">
        <v>25</v>
      </c>
      <c r="G42" s="439"/>
      <c r="H42" s="422"/>
      <c r="I42" s="54"/>
      <c r="J42" s="8"/>
      <c r="K42" s="8"/>
      <c r="L42" s="8"/>
      <c r="M42" s="8"/>
      <c r="N42" s="8"/>
      <c r="O42" s="8"/>
      <c r="P42" s="8"/>
      <c r="Q42" s="8"/>
      <c r="R42" s="8"/>
      <c r="Y42" s="22">
        <f>DATE(YEAR(U21),MONTH(U21)+1,DAY(U21))</f>
        <v>31</v>
      </c>
    </row>
    <row r="43" spans="1:61" ht="26.25" customHeight="1">
      <c r="A43" s="54"/>
      <c r="B43" s="406">
        <f>Principal_Amount</f>
        <v>80953.710000000006</v>
      </c>
      <c r="C43" s="407"/>
      <c r="D43" s="406">
        <f>IF(Type_of_Loan="BL-SA",0,IF(Type_of_Loan="QCL",(Principal_Amount*Interest*Term_masterdatainput),ROUND(Principal_Amount*(Interest/30)*DATEDIF(Date_released2,MaturityDate1,"d"),0)))</f>
        <v>19753</v>
      </c>
      <c r="E43" s="407"/>
      <c r="F43" s="406">
        <f>IF(Type_of_Loan="BL-SA",Amount_of_Loan,Loan_Amount+Total_UII)</f>
        <v>100706.71</v>
      </c>
      <c r="G43" s="450"/>
      <c r="H43" s="407"/>
      <c r="I43" s="54"/>
      <c r="J43" s="8"/>
      <c r="K43" s="23">
        <f>DATE(YEAR($C$45),MONTH($C$45)+($G$13-1),DAY($C$45))</f>
        <v>46342</v>
      </c>
      <c r="L43" s="8" t="s">
        <v>46</v>
      </c>
      <c r="M43" s="8"/>
      <c r="N43" s="8"/>
      <c r="O43" s="8"/>
      <c r="P43" s="8"/>
      <c r="Q43" s="8"/>
      <c r="R43" s="8"/>
      <c r="S43" s="21"/>
    </row>
    <row r="44" spans="1:61" ht="20.25">
      <c r="A44" s="54"/>
      <c r="B44" s="77" t="s">
        <v>20</v>
      </c>
      <c r="C44" s="77" t="s">
        <v>21</v>
      </c>
      <c r="D44" s="78" t="s">
        <v>22</v>
      </c>
      <c r="E44" s="79" t="s">
        <v>26</v>
      </c>
      <c r="F44" s="80"/>
      <c r="G44" s="81"/>
      <c r="H44" s="81"/>
      <c r="I44" s="82"/>
      <c r="J44" s="24"/>
      <c r="K44" s="24"/>
      <c r="L44" s="24"/>
      <c r="M44" s="24"/>
      <c r="N44" s="24"/>
      <c r="O44" s="24"/>
      <c r="P44" s="24"/>
      <c r="Q44" s="24"/>
      <c r="R44" s="25"/>
      <c r="S44" s="447" t="s">
        <v>23</v>
      </c>
      <c r="T44" s="447"/>
      <c r="U44" s="447" t="s">
        <v>24</v>
      </c>
      <c r="V44" s="447"/>
      <c r="W44" s="26"/>
      <c r="X44" s="26"/>
      <c r="Y44" s="26"/>
      <c r="Z44" s="8"/>
      <c r="AA44" s="8"/>
      <c r="AB44" s="8"/>
      <c r="AC44" s="8"/>
      <c r="AD44" s="8"/>
      <c r="AE44" s="8"/>
      <c r="AW44" s="27"/>
      <c r="AX44" s="27"/>
      <c r="AY44" s="27"/>
      <c r="AZ44" s="27"/>
      <c r="BA44" s="27"/>
      <c r="BB44" s="27"/>
      <c r="BC44" s="27"/>
      <c r="BD44" s="27"/>
      <c r="BE44" s="27"/>
      <c r="BF44" s="28"/>
      <c r="BG44" s="28"/>
      <c r="BH44" s="28"/>
      <c r="BI44" s="28"/>
    </row>
    <row r="45" spans="1:61" ht="20.25">
      <c r="A45" s="54"/>
      <c r="B45" s="83">
        <v>1</v>
      </c>
      <c r="C45" s="105">
        <f>Start_Payment</f>
        <v>46128</v>
      </c>
      <c r="D45" s="84">
        <f>D70-SUM(D46:D69)</f>
        <v>12590.710000000006</v>
      </c>
      <c r="E45" s="54"/>
      <c r="F45" s="54"/>
      <c r="G45" s="54"/>
      <c r="H45" s="57"/>
      <c r="I45" s="85"/>
      <c r="J45" s="15"/>
      <c r="K45" s="15"/>
      <c r="L45" s="15"/>
      <c r="M45" s="15"/>
      <c r="N45" s="15"/>
      <c r="O45" s="15"/>
      <c r="P45" s="15"/>
      <c r="Q45" s="15"/>
      <c r="R45" s="29"/>
      <c r="S45" s="445">
        <f>IF(NOT(B45=AA27),$D$43*(($B$70-(B45-1))/((($B$70+1)/2)*$B$70)),"")</f>
        <v>4389.5555555555557</v>
      </c>
      <c r="T45" s="445"/>
      <c r="U45" s="446">
        <f>IF(NOT(B45=AA28),D45-S45,"")</f>
        <v>8201.1544444444517</v>
      </c>
      <c r="V45" s="446"/>
      <c r="W45" s="26"/>
      <c r="X45" s="31" t="str">
        <f>IF(WEEKDAY(Y45,2)=1,"Monday",IF(WEEKDAY(Y45,2)=2,"Tuesday",IF(WEEKDAY(Y45,2)=3,"Wednesday",IF(WEEKDAY(Y45,2)=4,"Thursday",IF(WEEKDAY(Y45,2)=5,"Friday",IF(WEEKDAY(Y45,2)=6,"Saturday",IF(WEEKDAY(Y45,2)=7,"Sunday")))))))</f>
        <v>Thursday</v>
      </c>
      <c r="Y45" s="32">
        <f>'Master data Input'!C30</f>
        <v>46128</v>
      </c>
      <c r="Z45" s="8"/>
      <c r="AA45" s="8"/>
      <c r="AB45" s="8"/>
      <c r="AC45" s="8"/>
      <c r="AD45" s="8"/>
      <c r="AE45" s="8"/>
      <c r="AW45" s="27"/>
      <c r="AX45" s="27"/>
      <c r="AY45" s="27"/>
      <c r="AZ45" s="27"/>
      <c r="BA45" s="27"/>
      <c r="BB45" s="27"/>
      <c r="BC45" s="27"/>
      <c r="BD45" s="27"/>
      <c r="BE45" s="27"/>
      <c r="BF45" s="28"/>
      <c r="BG45" s="28"/>
      <c r="BH45" s="28"/>
      <c r="BI45" s="28"/>
    </row>
    <row r="46" spans="1:61" ht="20.25">
      <c r="A46" s="54"/>
      <c r="B46" s="86">
        <f>IF(B45&lt;$G$13,B45+1,"")</f>
        <v>2</v>
      </c>
      <c r="C46" s="106">
        <f t="shared" ref="C46:C69" si="0">IF(PERIOD&lt;&gt;"",DATE(YEAR(C45),MONTH(C45),DAY(C45)+15),"")</f>
        <v>46143</v>
      </c>
      <c r="D46" s="87">
        <f t="shared" ref="D46:D69" si="1">IF(PERIOD&lt;&gt;"",ROUNDDOWN($F$43/$B$70,0),"")</f>
        <v>12588</v>
      </c>
      <c r="E46" s="58"/>
      <c r="F46" s="58"/>
      <c r="G46" s="58"/>
      <c r="H46" s="88"/>
      <c r="I46" s="85"/>
      <c r="J46" s="15"/>
      <c r="K46" s="15"/>
      <c r="L46" s="15"/>
      <c r="M46" s="15"/>
      <c r="N46" s="15"/>
      <c r="O46" s="15"/>
      <c r="P46" s="15"/>
      <c r="Q46" s="15"/>
      <c r="R46" s="29"/>
      <c r="S46" s="445">
        <f>IF(NOT(B46=AA28),$D$43*(($B$70-(B46-1))/((($B$70+1)/2)*$B$70)),"")</f>
        <v>3840.8611111111113</v>
      </c>
      <c r="T46" s="445"/>
      <c r="U46" s="446">
        <f>IF(NOT(B46=AA31),D46-S46,"")</f>
        <v>8747.1388888888887</v>
      </c>
      <c r="V46" s="446"/>
      <c r="W46" s="26"/>
      <c r="X46" s="31" t="str">
        <f t="shared" ref="X46:X68" si="2">IF(WEEKDAY(Y46,2)=1,"Monday",IF(WEEKDAY(Y46,2)=2,"Tuesday",IF(WEEKDAY(Y46,2)=3,"Wednesday",IF(WEEKDAY(Y46,2)=4,"Thursday",IF(WEEKDAY(Y46,2)=5,"Friday",IF(WEEKDAY(Y46,2)=6,"Saturday",IF(WEEKDAY(Y46,2)=7,"Sunday")))))))</f>
        <v>Saturday</v>
      </c>
      <c r="Y46" s="32">
        <f t="shared" ref="Y46:Y68" si="3">IF(PERIOD&lt;&gt;"",IF(DATE(YEAR(Y45),MONTH(Y45),DAY(Y45))&lt;=$K$43,DATE(YEAR(Y45),MONTH(Y45)+1,DAY(Y45)),""),"")</f>
        <v>46158</v>
      </c>
      <c r="Z46" s="8"/>
      <c r="AA46" s="8"/>
      <c r="AB46" s="8"/>
      <c r="AC46" s="8"/>
      <c r="AD46" s="8"/>
      <c r="AE46" s="8"/>
      <c r="AW46" s="27"/>
      <c r="AX46" s="27"/>
      <c r="AY46" s="27"/>
      <c r="AZ46" s="27"/>
      <c r="BA46" s="27"/>
      <c r="BB46" s="27"/>
      <c r="BC46" s="27"/>
      <c r="BD46" s="27"/>
      <c r="BE46" s="27"/>
      <c r="BF46" s="28"/>
      <c r="BG46" s="28"/>
      <c r="BH46" s="28"/>
      <c r="BI46" s="28"/>
    </row>
    <row r="47" spans="1:61" ht="20.25">
      <c r="A47" s="54"/>
      <c r="B47" s="86">
        <f t="shared" ref="B47:B69" si="4">IF(B46&lt;$G$13,B46+1,"")</f>
        <v>3</v>
      </c>
      <c r="C47" s="106">
        <v>40918</v>
      </c>
      <c r="D47" s="87">
        <f t="shared" si="1"/>
        <v>12588</v>
      </c>
      <c r="E47" s="80" t="s">
        <v>53</v>
      </c>
      <c r="F47" s="80"/>
      <c r="G47" s="81"/>
      <c r="H47" s="89"/>
      <c r="I47" s="85"/>
      <c r="J47" s="15"/>
      <c r="K47" s="15"/>
      <c r="L47" s="15"/>
      <c r="M47" s="15"/>
      <c r="N47" s="15"/>
      <c r="O47" s="15"/>
      <c r="P47" s="15"/>
      <c r="Q47" s="15"/>
      <c r="R47" s="29"/>
      <c r="S47" s="445">
        <f>IF(NOT(B47=AA31),$D$43*(($B$70-(B47-1))/((($B$70+1)/2)*$B$70)),"")</f>
        <v>3292.1666666666665</v>
      </c>
      <c r="T47" s="445"/>
      <c r="U47" s="446">
        <f t="shared" ref="U47:U54" si="5">IF(NOT(B47=AA33),D47-S47,"")</f>
        <v>9295.8333333333339</v>
      </c>
      <c r="V47" s="446"/>
      <c r="W47" s="26"/>
      <c r="X47" s="31" t="str">
        <f t="shared" si="2"/>
        <v>Tuesday</v>
      </c>
      <c r="Y47" s="32">
        <f t="shared" si="3"/>
        <v>46189</v>
      </c>
      <c r="Z47" s="8"/>
      <c r="AA47" s="8"/>
      <c r="AB47" s="8"/>
      <c r="AC47" s="8"/>
      <c r="AD47" s="8"/>
      <c r="AE47" s="8"/>
      <c r="AW47" s="27"/>
      <c r="AX47" s="27"/>
      <c r="AY47" s="27"/>
      <c r="AZ47" s="27"/>
      <c r="BA47" s="27"/>
      <c r="BB47" s="27"/>
      <c r="BC47" s="27"/>
      <c r="BD47" s="27"/>
      <c r="BE47" s="27"/>
      <c r="BF47" s="28"/>
      <c r="BG47" s="28"/>
      <c r="BH47" s="28"/>
      <c r="BI47" s="28"/>
    </row>
    <row r="48" spans="1:61" ht="20.25">
      <c r="A48" s="54"/>
      <c r="B48" s="86">
        <f t="shared" si="4"/>
        <v>4</v>
      </c>
      <c r="C48" s="106">
        <v>40933</v>
      </c>
      <c r="D48" s="87">
        <f t="shared" si="1"/>
        <v>12588</v>
      </c>
      <c r="E48" s="90"/>
      <c r="F48" s="90"/>
      <c r="G48" s="70"/>
      <c r="H48" s="91"/>
      <c r="I48" s="85"/>
      <c r="J48" s="15"/>
      <c r="K48" s="15"/>
      <c r="L48" s="15"/>
      <c r="M48" s="15"/>
      <c r="N48" s="15"/>
      <c r="O48" s="15"/>
      <c r="P48" s="15"/>
      <c r="Q48" s="15"/>
      <c r="R48" s="29"/>
      <c r="S48" s="445">
        <f t="shared" ref="S48:S68" si="6">IF(NOT(B48=AA33),$D$43*(($B$70-(B48-1))/((($B$70+1)/2)*$B$70)),"")</f>
        <v>2743.4722222222222</v>
      </c>
      <c r="T48" s="445"/>
      <c r="U48" s="446">
        <f t="shared" si="5"/>
        <v>9844.5277777777774</v>
      </c>
      <c r="V48" s="446"/>
      <c r="W48" s="26"/>
      <c r="X48" s="31" t="str">
        <f t="shared" si="2"/>
        <v>Thursday</v>
      </c>
      <c r="Y48" s="32">
        <f t="shared" si="3"/>
        <v>46219</v>
      </c>
      <c r="Z48" s="8"/>
      <c r="AA48" s="8"/>
      <c r="AB48" s="8"/>
      <c r="AC48" s="8"/>
      <c r="AD48" s="8"/>
      <c r="AE48" s="8"/>
      <c r="AW48" s="27"/>
      <c r="AX48" s="27"/>
      <c r="AY48" s="27"/>
      <c r="AZ48" s="27"/>
      <c r="BA48" s="27"/>
      <c r="BB48" s="27"/>
      <c r="BC48" s="27"/>
      <c r="BD48" s="27"/>
      <c r="BE48" s="27"/>
      <c r="BF48" s="28"/>
      <c r="BG48" s="28"/>
      <c r="BH48" s="28"/>
      <c r="BI48" s="28"/>
    </row>
    <row r="49" spans="1:61" ht="20.25">
      <c r="A49" s="54"/>
      <c r="B49" s="86">
        <f t="shared" si="4"/>
        <v>5</v>
      </c>
      <c r="C49" s="106">
        <f t="shared" si="0"/>
        <v>40948</v>
      </c>
      <c r="D49" s="87">
        <f t="shared" si="1"/>
        <v>12588</v>
      </c>
      <c r="E49" s="58"/>
      <c r="F49" s="58"/>
      <c r="G49" s="58"/>
      <c r="H49" s="88"/>
      <c r="I49" s="85"/>
      <c r="J49" s="15"/>
      <c r="K49" s="15"/>
      <c r="L49" s="15"/>
      <c r="M49" s="15"/>
      <c r="N49" s="15"/>
      <c r="O49" s="15"/>
      <c r="P49" s="15"/>
      <c r="Q49" s="15"/>
      <c r="R49" s="29"/>
      <c r="S49" s="445">
        <f t="shared" si="6"/>
        <v>2194.7777777777778</v>
      </c>
      <c r="T49" s="445"/>
      <c r="U49" s="446">
        <f t="shared" si="5"/>
        <v>10393.222222222223</v>
      </c>
      <c r="V49" s="446"/>
      <c r="W49" s="26"/>
      <c r="X49" s="31" t="str">
        <f t="shared" si="2"/>
        <v>Sunday</v>
      </c>
      <c r="Y49" s="32">
        <f t="shared" si="3"/>
        <v>46250</v>
      </c>
      <c r="Z49" s="8"/>
      <c r="AA49" s="8"/>
      <c r="AB49" s="8"/>
      <c r="AC49" s="8"/>
      <c r="AD49" s="8"/>
      <c r="AE49" s="8"/>
      <c r="AW49" s="27"/>
      <c r="AX49" s="27"/>
      <c r="AY49" s="27"/>
      <c r="AZ49" s="27"/>
      <c r="BA49" s="27"/>
      <c r="BB49" s="27"/>
      <c r="BC49" s="27"/>
      <c r="BD49" s="27"/>
      <c r="BE49" s="27"/>
      <c r="BF49" s="28"/>
      <c r="BG49" s="28"/>
      <c r="BH49" s="28"/>
      <c r="BI49" s="28"/>
    </row>
    <row r="50" spans="1:61" ht="20.25">
      <c r="A50" s="54"/>
      <c r="B50" s="86">
        <f t="shared" si="4"/>
        <v>6</v>
      </c>
      <c r="C50" s="106">
        <f t="shared" si="0"/>
        <v>40963</v>
      </c>
      <c r="D50" s="87">
        <f t="shared" si="1"/>
        <v>12588</v>
      </c>
      <c r="E50" s="80" t="s">
        <v>29</v>
      </c>
      <c r="F50" s="80"/>
      <c r="G50" s="81"/>
      <c r="H50" s="89"/>
      <c r="I50" s="85"/>
      <c r="J50" s="15"/>
      <c r="K50" s="15"/>
      <c r="L50" s="15"/>
      <c r="M50" s="15"/>
      <c r="N50" s="15"/>
      <c r="O50" s="15"/>
      <c r="P50" s="15"/>
      <c r="Q50" s="15"/>
      <c r="R50" s="29"/>
      <c r="S50" s="445">
        <f t="shared" si="6"/>
        <v>1646.0833333333333</v>
      </c>
      <c r="T50" s="445"/>
      <c r="U50" s="446">
        <f t="shared" si="5"/>
        <v>10941.916666666666</v>
      </c>
      <c r="V50" s="446"/>
      <c r="W50" s="26"/>
      <c r="X50" s="31" t="str">
        <f t="shared" si="2"/>
        <v>Wednesday</v>
      </c>
      <c r="Y50" s="32">
        <f t="shared" si="3"/>
        <v>46281</v>
      </c>
      <c r="Z50" s="8"/>
      <c r="AA50" s="8"/>
      <c r="AB50" s="8"/>
      <c r="AC50" s="8"/>
      <c r="AD50" s="8"/>
      <c r="AE50" s="8"/>
      <c r="AW50" s="27"/>
      <c r="AX50" s="27"/>
      <c r="AY50" s="27"/>
      <c r="AZ50" s="27"/>
      <c r="BA50" s="27"/>
      <c r="BB50" s="27"/>
      <c r="BC50" s="27"/>
      <c r="BD50" s="27"/>
      <c r="BE50" s="27"/>
      <c r="BF50" s="28"/>
      <c r="BG50" s="28"/>
      <c r="BH50" s="28"/>
      <c r="BI50" s="28"/>
    </row>
    <row r="51" spans="1:61" ht="20.25">
      <c r="A51" s="54"/>
      <c r="B51" s="86">
        <f t="shared" si="4"/>
        <v>7</v>
      </c>
      <c r="C51" s="106">
        <f t="shared" si="0"/>
        <v>40978</v>
      </c>
      <c r="D51" s="87">
        <f t="shared" si="1"/>
        <v>12588</v>
      </c>
      <c r="E51" s="54"/>
      <c r="F51" s="54"/>
      <c r="G51" s="85"/>
      <c r="H51" s="57"/>
      <c r="I51" s="85"/>
      <c r="J51" s="15"/>
      <c r="K51" s="15"/>
      <c r="L51" s="15"/>
      <c r="M51" s="15"/>
      <c r="N51" s="15"/>
      <c r="O51" s="15"/>
      <c r="P51" s="15"/>
      <c r="Q51" s="15"/>
      <c r="R51" s="29"/>
      <c r="S51" s="445">
        <f t="shared" si="6"/>
        <v>1097.3888888888889</v>
      </c>
      <c r="T51" s="445"/>
      <c r="U51" s="446">
        <f t="shared" si="5"/>
        <v>11490.611111111111</v>
      </c>
      <c r="V51" s="446"/>
      <c r="W51" s="26"/>
      <c r="X51" s="31" t="str">
        <f t="shared" si="2"/>
        <v>Friday</v>
      </c>
      <c r="Y51" s="32">
        <f t="shared" si="3"/>
        <v>46311</v>
      </c>
      <c r="Z51" s="8"/>
      <c r="AA51" s="8"/>
      <c r="AB51" s="8"/>
      <c r="AC51" s="8"/>
      <c r="AD51" s="8"/>
      <c r="AE51" s="8"/>
      <c r="AW51" s="27"/>
      <c r="AX51" s="27"/>
      <c r="AY51" s="27"/>
      <c r="AZ51" s="27"/>
      <c r="BA51" s="27"/>
      <c r="BB51" s="27"/>
      <c r="BC51" s="27"/>
      <c r="BD51" s="27"/>
      <c r="BE51" s="27"/>
      <c r="BF51" s="28"/>
      <c r="BG51" s="28"/>
      <c r="BH51" s="28"/>
      <c r="BI51" s="28"/>
    </row>
    <row r="52" spans="1:61" ht="20.25">
      <c r="A52" s="54"/>
      <c r="B52" s="86">
        <f t="shared" si="4"/>
        <v>8</v>
      </c>
      <c r="C52" s="106">
        <f t="shared" si="0"/>
        <v>40993</v>
      </c>
      <c r="D52" s="87">
        <f t="shared" si="1"/>
        <v>12588</v>
      </c>
      <c r="E52" s="58"/>
      <c r="F52" s="58"/>
      <c r="G52" s="92"/>
      <c r="H52" s="88"/>
      <c r="I52" s="85"/>
      <c r="J52" s="15"/>
      <c r="K52" s="15"/>
      <c r="L52" s="15"/>
      <c r="M52" s="15"/>
      <c r="N52" s="15"/>
      <c r="O52" s="15"/>
      <c r="P52" s="15"/>
      <c r="Q52" s="15"/>
      <c r="R52" s="29"/>
      <c r="S52" s="445">
        <f t="shared" si="6"/>
        <v>548.69444444444446</v>
      </c>
      <c r="T52" s="445"/>
      <c r="U52" s="446">
        <f t="shared" si="5"/>
        <v>12039.305555555555</v>
      </c>
      <c r="V52" s="446"/>
      <c r="W52" s="26"/>
      <c r="X52" s="31" t="str">
        <f t="shared" si="2"/>
        <v>Monday</v>
      </c>
      <c r="Y52" s="32">
        <f>IF(PERIOD&lt;&gt;"",IF(DATE(YEAR(Y51),MONTH(Y51),DAY(Y51))&lt;=$K$43,DATE(YEAR(Y51),MONTH(Y51)+1,DAY(Y51)),""),"")</f>
        <v>46342</v>
      </c>
      <c r="Z52" s="8"/>
      <c r="AA52" s="8"/>
      <c r="AB52" s="8"/>
      <c r="AC52" s="8"/>
      <c r="AD52" s="8"/>
      <c r="AE52" s="8"/>
      <c r="AW52" s="27"/>
      <c r="AX52" s="27"/>
      <c r="AY52" s="27"/>
      <c r="AZ52" s="27"/>
      <c r="BA52" s="27"/>
      <c r="BB52" s="27"/>
      <c r="BC52" s="27"/>
      <c r="BD52" s="27"/>
      <c r="BE52" s="27"/>
      <c r="BF52" s="28"/>
      <c r="BG52" s="28"/>
      <c r="BH52" s="28"/>
      <c r="BI52" s="28"/>
    </row>
    <row r="53" spans="1:61" ht="20.25">
      <c r="A53" s="54"/>
      <c r="B53" s="86" t="str">
        <f t="shared" si="4"/>
        <v/>
      </c>
      <c r="C53" s="106" t="str">
        <f t="shared" si="0"/>
        <v/>
      </c>
      <c r="D53" s="87" t="str">
        <f t="shared" si="1"/>
        <v/>
      </c>
      <c r="E53" s="54" t="s">
        <v>27</v>
      </c>
      <c r="F53" s="54"/>
      <c r="G53" s="93"/>
      <c r="H53" s="94"/>
      <c r="I53" s="85"/>
      <c r="J53" s="15"/>
      <c r="K53" s="15"/>
      <c r="L53" s="15"/>
      <c r="M53" s="15"/>
      <c r="N53" s="15"/>
      <c r="O53" s="15"/>
      <c r="P53" s="15"/>
      <c r="Q53" s="15"/>
      <c r="R53" s="29"/>
      <c r="S53" s="445" t="str">
        <f t="shared" si="6"/>
        <v/>
      </c>
      <c r="T53" s="445"/>
      <c r="U53" s="446" t="str">
        <f t="shared" si="5"/>
        <v/>
      </c>
      <c r="V53" s="446"/>
      <c r="W53" s="26"/>
      <c r="X53" s="31" t="e">
        <f t="shared" si="2"/>
        <v>#VALUE!</v>
      </c>
      <c r="Y53" s="32" t="str">
        <f t="shared" si="3"/>
        <v/>
      </c>
      <c r="Z53" s="8"/>
      <c r="AA53" s="8"/>
      <c r="AB53" s="8"/>
      <c r="AC53" s="8"/>
      <c r="AD53" s="8"/>
      <c r="AE53" s="8"/>
      <c r="AH53" s="33"/>
      <c r="AW53" s="27"/>
      <c r="AX53" s="27"/>
      <c r="AY53" s="27"/>
      <c r="AZ53" s="27"/>
      <c r="BA53" s="27"/>
      <c r="BB53" s="27"/>
      <c r="BC53" s="27"/>
      <c r="BD53" s="27"/>
      <c r="BE53" s="27"/>
      <c r="BF53" s="28"/>
      <c r="BG53" s="28"/>
      <c r="BH53" s="28"/>
      <c r="BI53" s="28"/>
    </row>
    <row r="54" spans="1:61" ht="20.25">
      <c r="A54" s="54"/>
      <c r="B54" s="86" t="str">
        <f t="shared" si="4"/>
        <v/>
      </c>
      <c r="C54" s="106" t="str">
        <f t="shared" si="0"/>
        <v/>
      </c>
      <c r="D54" s="87" t="str">
        <f t="shared" si="1"/>
        <v/>
      </c>
      <c r="E54" s="54"/>
      <c r="F54" s="54"/>
      <c r="G54" s="60"/>
      <c r="H54" s="57"/>
      <c r="I54" s="85"/>
      <c r="J54" s="15"/>
      <c r="K54" s="15"/>
      <c r="L54" s="15"/>
      <c r="M54" s="15"/>
      <c r="N54" s="15"/>
      <c r="O54" s="15"/>
      <c r="P54" s="15"/>
      <c r="Q54" s="15"/>
      <c r="R54" s="29"/>
      <c r="S54" s="445" t="str">
        <f t="shared" si="6"/>
        <v/>
      </c>
      <c r="T54" s="445"/>
      <c r="U54" s="446" t="str">
        <f t="shared" si="5"/>
        <v/>
      </c>
      <c r="V54" s="446"/>
      <c r="W54" s="26"/>
      <c r="X54" s="31" t="e">
        <f t="shared" si="2"/>
        <v>#VALUE!</v>
      </c>
      <c r="Y54" s="32" t="str">
        <f t="shared" si="3"/>
        <v/>
      </c>
      <c r="Z54" s="8"/>
      <c r="AA54" s="8"/>
      <c r="AB54" s="8"/>
      <c r="AC54" s="8"/>
      <c r="AD54" s="8"/>
      <c r="AE54" s="8"/>
      <c r="AW54" s="27"/>
      <c r="AX54" s="27"/>
      <c r="AY54" s="27"/>
      <c r="AZ54" s="27"/>
      <c r="BA54" s="27"/>
      <c r="BB54" s="27"/>
      <c r="BC54" s="27"/>
      <c r="BD54" s="27"/>
      <c r="BE54" s="27"/>
      <c r="BF54" s="28"/>
      <c r="BG54" s="28"/>
      <c r="BH54" s="28"/>
      <c r="BI54" s="28"/>
    </row>
    <row r="55" spans="1:61" ht="20.25">
      <c r="A55" s="54"/>
      <c r="B55" s="86" t="str">
        <f t="shared" si="4"/>
        <v/>
      </c>
      <c r="C55" s="106" t="str">
        <f t="shared" si="0"/>
        <v/>
      </c>
      <c r="D55" s="87" t="str">
        <f t="shared" si="1"/>
        <v/>
      </c>
      <c r="E55" s="58"/>
      <c r="F55" s="58"/>
      <c r="G55" s="92"/>
      <c r="H55" s="88"/>
      <c r="I55" s="85"/>
      <c r="J55" s="15"/>
      <c r="K55" s="15"/>
      <c r="L55" s="15"/>
      <c r="M55" s="15"/>
      <c r="N55" s="15"/>
      <c r="O55" s="15"/>
      <c r="P55" s="15"/>
      <c r="Q55" s="15"/>
      <c r="R55" s="29"/>
      <c r="S55" s="445" t="str">
        <f t="shared" si="6"/>
        <v/>
      </c>
      <c r="T55" s="445"/>
      <c r="U55" s="446" t="str">
        <f>IF(NOT(B55=AA41),D55-T55,"")</f>
        <v/>
      </c>
      <c r="V55" s="446"/>
      <c r="W55" s="26"/>
      <c r="X55" s="31" t="e">
        <f t="shared" si="2"/>
        <v>#VALUE!</v>
      </c>
      <c r="Y55" s="32" t="str">
        <f t="shared" si="3"/>
        <v/>
      </c>
      <c r="Z55" s="8"/>
      <c r="AA55" s="8"/>
      <c r="AB55" s="8"/>
      <c r="AC55" s="8"/>
      <c r="AD55" s="8"/>
      <c r="AE55" s="8"/>
      <c r="AW55" s="27"/>
      <c r="AX55" s="27"/>
      <c r="AY55" s="27"/>
      <c r="AZ55" s="27"/>
      <c r="BA55" s="27"/>
      <c r="BB55" s="27"/>
      <c r="BC55" s="27"/>
      <c r="BD55" s="27"/>
      <c r="BE55" s="27"/>
      <c r="BF55" s="28"/>
      <c r="BG55" s="28"/>
      <c r="BH55" s="28"/>
      <c r="BI55" s="28"/>
    </row>
    <row r="56" spans="1:61" ht="20.25">
      <c r="A56" s="54"/>
      <c r="B56" s="86" t="str">
        <f t="shared" si="4"/>
        <v/>
      </c>
      <c r="C56" s="106" t="str">
        <f t="shared" si="0"/>
        <v/>
      </c>
      <c r="D56" s="87" t="str">
        <f t="shared" si="1"/>
        <v/>
      </c>
      <c r="E56" s="58" t="s">
        <v>28</v>
      </c>
      <c r="F56" s="58"/>
      <c r="G56" s="448">
        <f>Date_Released</f>
        <v>46083</v>
      </c>
      <c r="H56" s="449"/>
      <c r="I56" s="85"/>
      <c r="J56" s="15"/>
      <c r="K56" s="15"/>
      <c r="L56" s="15"/>
      <c r="M56" s="15"/>
      <c r="N56" s="15"/>
      <c r="O56" s="15"/>
      <c r="P56" s="15"/>
      <c r="Q56" s="15"/>
      <c r="R56" s="29"/>
      <c r="S56" s="445" t="str">
        <f t="shared" si="6"/>
        <v/>
      </c>
      <c r="T56" s="445"/>
      <c r="U56" s="446" t="str">
        <f>IF(NOT(B56=AA42),D56-T56,"")</f>
        <v/>
      </c>
      <c r="V56" s="446"/>
      <c r="W56" s="26"/>
      <c r="X56" s="31" t="e">
        <f t="shared" si="2"/>
        <v>#VALUE!</v>
      </c>
      <c r="Y56" s="32" t="str">
        <f t="shared" si="3"/>
        <v/>
      </c>
      <c r="Z56" s="8"/>
      <c r="AA56" s="8"/>
      <c r="AB56" s="8"/>
      <c r="AC56" s="8"/>
      <c r="AD56" s="8"/>
      <c r="AE56" s="8"/>
      <c r="AW56" s="27"/>
      <c r="AX56" s="27"/>
      <c r="AY56" s="27"/>
      <c r="AZ56" s="27"/>
      <c r="BA56" s="27"/>
      <c r="BB56" s="27"/>
      <c r="BC56" s="27"/>
      <c r="BD56" s="27"/>
      <c r="BE56" s="27"/>
      <c r="BF56" s="28"/>
      <c r="BG56" s="28"/>
      <c r="BH56" s="28"/>
      <c r="BI56" s="28"/>
    </row>
    <row r="57" spans="1:61" ht="20.25">
      <c r="A57" s="54"/>
      <c r="B57" s="86" t="str">
        <f t="shared" si="4"/>
        <v/>
      </c>
      <c r="C57" s="106" t="str">
        <f t="shared" si="0"/>
        <v/>
      </c>
      <c r="D57" s="87" t="str">
        <f t="shared" si="1"/>
        <v/>
      </c>
      <c r="E57" s="79" t="s">
        <v>105</v>
      </c>
      <c r="F57" s="93"/>
      <c r="G57" s="80"/>
      <c r="H57" s="95"/>
      <c r="I57" s="85"/>
      <c r="J57" s="15"/>
      <c r="K57" s="15"/>
      <c r="L57" s="15"/>
      <c r="M57" s="15"/>
      <c r="N57" s="15"/>
      <c r="O57" s="15"/>
      <c r="P57" s="15"/>
      <c r="Q57" s="15"/>
      <c r="R57" s="30"/>
      <c r="S57" s="445" t="str">
        <f t="shared" si="6"/>
        <v/>
      </c>
      <c r="T57" s="445"/>
      <c r="U57" s="446" t="str">
        <f>IF(NOT(B57=AA43),D57-T57,"")</f>
        <v/>
      </c>
      <c r="V57" s="446"/>
      <c r="W57" s="31"/>
      <c r="X57" s="31" t="e">
        <f t="shared" si="2"/>
        <v>#VALUE!</v>
      </c>
      <c r="Y57" s="32" t="str">
        <f t="shared" si="3"/>
        <v/>
      </c>
      <c r="Z57" s="8"/>
      <c r="AA57" s="8"/>
      <c r="AB57" s="8"/>
      <c r="AC57" s="8"/>
      <c r="AD57" s="8"/>
      <c r="AW57" s="27"/>
      <c r="AX57" s="27"/>
      <c r="AY57" s="27"/>
      <c r="AZ57" s="27"/>
      <c r="BA57" s="27"/>
      <c r="BB57" s="27"/>
      <c r="BC57" s="27"/>
      <c r="BD57" s="27"/>
      <c r="BE57" s="27"/>
      <c r="BF57" s="28"/>
      <c r="BG57" s="28"/>
      <c r="BH57" s="28"/>
    </row>
    <row r="58" spans="1:61" ht="20.25">
      <c r="A58" s="54"/>
      <c r="B58" s="86" t="str">
        <f t="shared" si="4"/>
        <v/>
      </c>
      <c r="C58" s="106" t="str">
        <f t="shared" si="0"/>
        <v/>
      </c>
      <c r="D58" s="87" t="str">
        <f t="shared" si="1"/>
        <v/>
      </c>
      <c r="E58" s="96"/>
      <c r="F58" s="85"/>
      <c r="G58" s="85"/>
      <c r="H58" s="56"/>
      <c r="I58" s="85"/>
      <c r="J58" s="15"/>
      <c r="K58" s="15"/>
      <c r="L58" s="15"/>
      <c r="M58" s="15"/>
      <c r="N58" s="15"/>
      <c r="O58" s="15"/>
      <c r="P58" s="15"/>
      <c r="Q58" s="15"/>
      <c r="R58" s="30"/>
      <c r="S58" s="445" t="str">
        <f t="shared" si="6"/>
        <v/>
      </c>
      <c r="T58" s="445"/>
      <c r="U58" s="446" t="str">
        <f>IF(NOT(B58=AA44),D58-T58,"")</f>
        <v/>
      </c>
      <c r="V58" s="446"/>
      <c r="W58" s="31"/>
      <c r="X58" s="31" t="e">
        <f t="shared" si="2"/>
        <v>#VALUE!</v>
      </c>
      <c r="Y58" s="32" t="str">
        <f t="shared" si="3"/>
        <v/>
      </c>
      <c r="Z58" s="8"/>
      <c r="AA58" s="8"/>
      <c r="AB58" s="8"/>
      <c r="AC58" s="8"/>
      <c r="AD58" s="8"/>
      <c r="AW58" s="27"/>
      <c r="AX58" s="27"/>
      <c r="AY58" s="27"/>
      <c r="AZ58" s="27"/>
      <c r="BA58" s="27"/>
      <c r="BB58" s="27"/>
      <c r="BC58" s="27"/>
      <c r="BD58" s="27"/>
      <c r="BE58" s="27"/>
      <c r="BF58" s="28"/>
      <c r="BG58" s="28"/>
      <c r="BH58" s="28"/>
    </row>
    <row r="59" spans="1:61" ht="20.25">
      <c r="A59" s="54"/>
      <c r="B59" s="86" t="str">
        <f t="shared" si="4"/>
        <v/>
      </c>
      <c r="C59" s="106" t="str">
        <f t="shared" si="0"/>
        <v/>
      </c>
      <c r="D59" s="87" t="str">
        <f t="shared" si="1"/>
        <v/>
      </c>
      <c r="E59" s="97" t="str">
        <f>IF(Advanced_Payment=0,"","With Advance Payment of P "&amp; Advanced_Payment)</f>
        <v/>
      </c>
      <c r="F59" s="85"/>
      <c r="G59" s="85"/>
      <c r="H59" s="56"/>
      <c r="I59" s="85"/>
      <c r="J59" s="15"/>
      <c r="K59" s="15"/>
      <c r="L59" s="15"/>
      <c r="M59" s="15"/>
      <c r="N59" s="15"/>
      <c r="O59" s="15"/>
      <c r="P59" s="15"/>
      <c r="Q59" s="15"/>
      <c r="R59" s="30"/>
      <c r="S59" s="445" t="str">
        <f t="shared" si="6"/>
        <v/>
      </c>
      <c r="T59" s="445"/>
      <c r="U59" s="446" t="str">
        <f>IF(NOT(B59=AA45),D59-T59,"")</f>
        <v/>
      </c>
      <c r="V59" s="446"/>
      <c r="W59" s="31"/>
      <c r="X59" s="31" t="e">
        <f t="shared" si="2"/>
        <v>#VALUE!</v>
      </c>
      <c r="Y59" s="32" t="str">
        <f t="shared" si="3"/>
        <v/>
      </c>
      <c r="Z59" s="8"/>
      <c r="AA59" s="8"/>
      <c r="AB59" s="8"/>
      <c r="AC59" s="8"/>
      <c r="AD59" s="8"/>
      <c r="AW59" s="27"/>
      <c r="AX59" s="27"/>
      <c r="AY59" s="27"/>
      <c r="AZ59" s="27"/>
      <c r="BA59" s="27"/>
      <c r="BB59" s="27"/>
      <c r="BC59" s="27"/>
      <c r="BD59" s="27"/>
      <c r="BE59" s="27"/>
      <c r="BF59" s="28"/>
      <c r="BG59" s="28"/>
      <c r="BH59" s="28"/>
    </row>
    <row r="60" spans="1:61" ht="20.25">
      <c r="A60" s="54"/>
      <c r="B60" s="86" t="str">
        <f t="shared" si="4"/>
        <v/>
      </c>
      <c r="C60" s="106" t="str">
        <f t="shared" si="0"/>
        <v/>
      </c>
      <c r="D60" s="87" t="str">
        <f t="shared" si="1"/>
        <v/>
      </c>
      <c r="E60" s="96"/>
      <c r="F60" s="85"/>
      <c r="G60" s="85"/>
      <c r="H60" s="56"/>
      <c r="I60" s="85"/>
      <c r="J60" s="15"/>
      <c r="K60" s="15"/>
      <c r="L60" s="15"/>
      <c r="M60" s="15"/>
      <c r="N60" s="15"/>
      <c r="O60" s="15"/>
      <c r="P60" s="15"/>
      <c r="Q60" s="15"/>
      <c r="R60" s="30"/>
      <c r="S60" s="445" t="str">
        <f t="shared" si="6"/>
        <v/>
      </c>
      <c r="T60" s="445"/>
      <c r="U60" s="446" t="str">
        <f t="shared" ref="U60:U68" si="7">IF(NOT(B60=AA46),D60-T60,"")</f>
        <v/>
      </c>
      <c r="V60" s="446"/>
      <c r="W60" s="31"/>
      <c r="X60" s="31" t="e">
        <f t="shared" si="2"/>
        <v>#VALUE!</v>
      </c>
      <c r="Y60" s="32" t="str">
        <f t="shared" si="3"/>
        <v/>
      </c>
      <c r="Z60" s="8"/>
      <c r="AA60" s="8"/>
      <c r="AB60" s="8"/>
      <c r="AC60" s="8"/>
      <c r="AD60" s="8"/>
      <c r="AW60" s="27"/>
      <c r="AX60" s="27"/>
      <c r="AY60" s="27"/>
      <c r="AZ60" s="27"/>
      <c r="BA60" s="27"/>
      <c r="BB60" s="27"/>
      <c r="BC60" s="27"/>
      <c r="BD60" s="27"/>
      <c r="BE60" s="27"/>
      <c r="BF60" s="28"/>
      <c r="BG60" s="28"/>
      <c r="BH60" s="28"/>
    </row>
    <row r="61" spans="1:61" ht="20.25">
      <c r="A61" s="54"/>
      <c r="B61" s="86" t="str">
        <f t="shared" si="4"/>
        <v/>
      </c>
      <c r="C61" s="106" t="str">
        <f t="shared" si="0"/>
        <v/>
      </c>
      <c r="D61" s="87" t="str">
        <f t="shared" si="1"/>
        <v/>
      </c>
      <c r="E61" s="96"/>
      <c r="F61" s="85"/>
      <c r="G61" s="85"/>
      <c r="H61" s="56"/>
      <c r="I61" s="85"/>
      <c r="J61" s="15"/>
      <c r="K61" s="15"/>
      <c r="L61" s="15"/>
      <c r="M61" s="15"/>
      <c r="N61" s="15"/>
      <c r="O61" s="15"/>
      <c r="P61" s="15"/>
      <c r="Q61" s="15"/>
      <c r="R61" s="30"/>
      <c r="S61" s="445" t="str">
        <f t="shared" si="6"/>
        <v/>
      </c>
      <c r="T61" s="445"/>
      <c r="U61" s="446" t="str">
        <f t="shared" si="7"/>
        <v/>
      </c>
      <c r="V61" s="446"/>
      <c r="W61" s="31"/>
      <c r="X61" s="31" t="e">
        <f t="shared" si="2"/>
        <v>#VALUE!</v>
      </c>
      <c r="Y61" s="32" t="str">
        <f t="shared" si="3"/>
        <v/>
      </c>
      <c r="Z61" s="8"/>
      <c r="AA61" s="8"/>
      <c r="AB61" s="8"/>
      <c r="AC61" s="8"/>
      <c r="AD61" s="8"/>
      <c r="AW61" s="27"/>
      <c r="AX61" s="27"/>
      <c r="AY61" s="27"/>
      <c r="AZ61" s="27"/>
      <c r="BA61" s="27"/>
      <c r="BB61" s="27"/>
      <c r="BC61" s="27"/>
      <c r="BD61" s="27"/>
      <c r="BE61" s="27"/>
      <c r="BF61" s="28"/>
      <c r="BG61" s="28"/>
      <c r="BH61" s="28"/>
    </row>
    <row r="62" spans="1:61" ht="20.25">
      <c r="A62" s="54"/>
      <c r="B62" s="86" t="str">
        <f t="shared" si="4"/>
        <v/>
      </c>
      <c r="C62" s="106" t="str">
        <f t="shared" si="0"/>
        <v/>
      </c>
      <c r="D62" s="87" t="str">
        <f t="shared" si="1"/>
        <v/>
      </c>
      <c r="E62" s="96"/>
      <c r="F62" s="85"/>
      <c r="G62" s="85"/>
      <c r="H62" s="56"/>
      <c r="I62" s="85"/>
      <c r="J62" s="15"/>
      <c r="K62" s="15"/>
      <c r="L62" s="15"/>
      <c r="M62" s="15"/>
      <c r="N62" s="15"/>
      <c r="O62" s="15"/>
      <c r="P62" s="15"/>
      <c r="Q62" s="15"/>
      <c r="R62" s="30"/>
      <c r="S62" s="445" t="str">
        <f t="shared" si="6"/>
        <v/>
      </c>
      <c r="T62" s="445"/>
      <c r="U62" s="446" t="str">
        <f t="shared" si="7"/>
        <v/>
      </c>
      <c r="V62" s="446"/>
      <c r="W62" s="31"/>
      <c r="X62" s="31" t="e">
        <f t="shared" si="2"/>
        <v>#VALUE!</v>
      </c>
      <c r="Y62" s="32" t="str">
        <f t="shared" si="3"/>
        <v/>
      </c>
      <c r="Z62" s="8"/>
      <c r="AA62" s="8"/>
      <c r="AB62" s="8"/>
      <c r="AC62" s="8"/>
      <c r="AD62" s="8"/>
      <c r="AW62" s="27"/>
      <c r="AX62" s="27"/>
      <c r="AY62" s="27"/>
      <c r="AZ62" s="27"/>
      <c r="BA62" s="27"/>
      <c r="BB62" s="27"/>
      <c r="BC62" s="27"/>
      <c r="BD62" s="27"/>
      <c r="BE62" s="27"/>
      <c r="BF62" s="28"/>
      <c r="BG62" s="28"/>
      <c r="BH62" s="28"/>
    </row>
    <row r="63" spans="1:61" ht="20.25">
      <c r="A63" s="54"/>
      <c r="B63" s="86" t="str">
        <f t="shared" si="4"/>
        <v/>
      </c>
      <c r="C63" s="106" t="str">
        <f t="shared" si="0"/>
        <v/>
      </c>
      <c r="D63" s="87" t="str">
        <f t="shared" si="1"/>
        <v/>
      </c>
      <c r="E63" s="96"/>
      <c r="F63" s="85"/>
      <c r="G63" s="85"/>
      <c r="H63" s="56"/>
      <c r="I63" s="85"/>
      <c r="J63" s="15"/>
      <c r="K63" s="15"/>
      <c r="L63" s="15"/>
      <c r="M63" s="15"/>
      <c r="N63" s="15"/>
      <c r="O63" s="15"/>
      <c r="P63" s="15"/>
      <c r="Q63" s="15"/>
      <c r="R63" s="30"/>
      <c r="S63" s="445" t="str">
        <f t="shared" si="6"/>
        <v/>
      </c>
      <c r="T63" s="445"/>
      <c r="U63" s="446" t="str">
        <f t="shared" si="7"/>
        <v/>
      </c>
      <c r="V63" s="446"/>
      <c r="W63" s="31"/>
      <c r="X63" s="31" t="e">
        <f t="shared" si="2"/>
        <v>#VALUE!</v>
      </c>
      <c r="Y63" s="32" t="str">
        <f t="shared" si="3"/>
        <v/>
      </c>
      <c r="Z63" s="8"/>
      <c r="AA63" s="8"/>
      <c r="AB63" s="8"/>
      <c r="AC63" s="8"/>
      <c r="AD63" s="8"/>
      <c r="AW63" s="27"/>
      <c r="AX63" s="27"/>
      <c r="AY63" s="27"/>
      <c r="AZ63" s="27"/>
      <c r="BA63" s="27"/>
      <c r="BB63" s="27"/>
      <c r="BC63" s="27"/>
      <c r="BD63" s="27"/>
      <c r="BE63" s="27"/>
      <c r="BF63" s="28"/>
      <c r="BG63" s="28"/>
      <c r="BH63" s="28"/>
    </row>
    <row r="64" spans="1:61" ht="20.25">
      <c r="A64" s="54"/>
      <c r="B64" s="86" t="str">
        <f t="shared" si="4"/>
        <v/>
      </c>
      <c r="C64" s="106" t="str">
        <f t="shared" si="0"/>
        <v/>
      </c>
      <c r="D64" s="87" t="str">
        <f t="shared" si="1"/>
        <v/>
      </c>
      <c r="E64" s="96"/>
      <c r="F64" s="85"/>
      <c r="G64" s="85"/>
      <c r="H64" s="56"/>
      <c r="I64" s="85"/>
      <c r="J64" s="15"/>
      <c r="K64" s="15"/>
      <c r="L64" s="15"/>
      <c r="M64" s="15"/>
      <c r="N64" s="15"/>
      <c r="O64" s="15"/>
      <c r="P64" s="15"/>
      <c r="Q64" s="15"/>
      <c r="R64" s="30"/>
      <c r="S64" s="445" t="str">
        <f t="shared" si="6"/>
        <v/>
      </c>
      <c r="T64" s="445"/>
      <c r="U64" s="446" t="str">
        <f t="shared" si="7"/>
        <v/>
      </c>
      <c r="V64" s="446"/>
      <c r="W64" s="31"/>
      <c r="X64" s="31" t="e">
        <f t="shared" si="2"/>
        <v>#VALUE!</v>
      </c>
      <c r="Y64" s="32" t="str">
        <f t="shared" si="3"/>
        <v/>
      </c>
      <c r="Z64" s="8"/>
      <c r="AA64" s="8"/>
      <c r="AB64" s="8"/>
      <c r="AC64" s="8"/>
      <c r="AD64" s="8"/>
      <c r="AW64" s="27"/>
      <c r="AX64" s="27"/>
      <c r="AY64" s="27"/>
      <c r="AZ64" s="27"/>
      <c r="BA64" s="27"/>
      <c r="BB64" s="27"/>
      <c r="BC64" s="27"/>
      <c r="BD64" s="27"/>
      <c r="BE64" s="27"/>
      <c r="BF64" s="28"/>
      <c r="BG64" s="28"/>
      <c r="BH64" s="28"/>
    </row>
    <row r="65" spans="1:60" ht="20.25">
      <c r="A65" s="54"/>
      <c r="B65" s="86" t="str">
        <f t="shared" si="4"/>
        <v/>
      </c>
      <c r="C65" s="106" t="str">
        <f t="shared" si="0"/>
        <v/>
      </c>
      <c r="D65" s="87" t="str">
        <f t="shared" si="1"/>
        <v/>
      </c>
      <c r="E65" s="96"/>
      <c r="F65" s="85"/>
      <c r="G65" s="85"/>
      <c r="H65" s="56"/>
      <c r="I65" s="85"/>
      <c r="J65" s="15"/>
      <c r="K65" s="15"/>
      <c r="L65" s="15"/>
      <c r="M65" s="15"/>
      <c r="N65" s="15"/>
      <c r="O65" s="15"/>
      <c r="P65" s="15"/>
      <c r="Q65" s="15"/>
      <c r="R65" s="30"/>
      <c r="S65" s="445" t="str">
        <f t="shared" si="6"/>
        <v/>
      </c>
      <c r="T65" s="445"/>
      <c r="U65" s="446" t="str">
        <f t="shared" si="7"/>
        <v/>
      </c>
      <c r="V65" s="446"/>
      <c r="W65" s="31"/>
      <c r="X65" s="31" t="e">
        <f t="shared" si="2"/>
        <v>#VALUE!</v>
      </c>
      <c r="Y65" s="32" t="str">
        <f t="shared" si="3"/>
        <v/>
      </c>
      <c r="Z65" s="8"/>
      <c r="AA65" s="8"/>
      <c r="AB65" s="8"/>
      <c r="AC65" s="8"/>
      <c r="AD65" s="8"/>
      <c r="AW65" s="27"/>
      <c r="AX65" s="27"/>
      <c r="AY65" s="27"/>
      <c r="AZ65" s="27"/>
      <c r="BA65" s="27"/>
      <c r="BB65" s="27"/>
      <c r="BC65" s="27"/>
      <c r="BD65" s="27"/>
      <c r="BE65" s="27"/>
      <c r="BF65" s="28"/>
      <c r="BG65" s="28"/>
      <c r="BH65" s="28"/>
    </row>
    <row r="66" spans="1:60" ht="20.25">
      <c r="A66" s="54"/>
      <c r="B66" s="86" t="str">
        <f t="shared" si="4"/>
        <v/>
      </c>
      <c r="C66" s="106" t="str">
        <f t="shared" si="0"/>
        <v/>
      </c>
      <c r="D66" s="87" t="str">
        <f t="shared" si="1"/>
        <v/>
      </c>
      <c r="E66" s="96"/>
      <c r="F66" s="85"/>
      <c r="G66" s="85"/>
      <c r="H66" s="56"/>
      <c r="I66" s="85"/>
      <c r="J66" s="15"/>
      <c r="K66" s="15"/>
      <c r="L66" s="15"/>
      <c r="M66" s="15"/>
      <c r="N66" s="15"/>
      <c r="O66" s="15"/>
      <c r="P66" s="15"/>
      <c r="Q66" s="15"/>
      <c r="R66" s="30"/>
      <c r="S66" s="445" t="str">
        <f t="shared" si="6"/>
        <v/>
      </c>
      <c r="T66" s="445"/>
      <c r="U66" s="446" t="str">
        <f t="shared" si="7"/>
        <v/>
      </c>
      <c r="V66" s="446"/>
      <c r="W66" s="31"/>
      <c r="X66" s="31" t="e">
        <f t="shared" si="2"/>
        <v>#VALUE!</v>
      </c>
      <c r="Y66" s="32" t="str">
        <f t="shared" si="3"/>
        <v/>
      </c>
      <c r="Z66" s="8"/>
      <c r="AA66" s="8"/>
      <c r="AB66" s="8"/>
      <c r="AC66" s="8"/>
      <c r="AD66" s="8"/>
      <c r="AW66" s="27"/>
      <c r="AX66" s="27"/>
      <c r="AY66" s="27"/>
      <c r="AZ66" s="27"/>
      <c r="BA66" s="27"/>
      <c r="BB66" s="27"/>
      <c r="BC66" s="27"/>
      <c r="BD66" s="27"/>
      <c r="BE66" s="27"/>
      <c r="BF66" s="28"/>
      <c r="BG66" s="28"/>
      <c r="BH66" s="28"/>
    </row>
    <row r="67" spans="1:60" ht="20.25">
      <c r="A67" s="54"/>
      <c r="B67" s="86" t="str">
        <f t="shared" si="4"/>
        <v/>
      </c>
      <c r="C67" s="106" t="str">
        <f t="shared" si="0"/>
        <v/>
      </c>
      <c r="D67" s="87" t="str">
        <f t="shared" si="1"/>
        <v/>
      </c>
      <c r="E67" s="96"/>
      <c r="F67" s="85"/>
      <c r="G67" s="85"/>
      <c r="H67" s="56"/>
      <c r="I67" s="85"/>
      <c r="J67" s="15"/>
      <c r="K67" s="15"/>
      <c r="L67" s="15"/>
      <c r="M67" s="15"/>
      <c r="N67" s="15"/>
      <c r="O67" s="15"/>
      <c r="P67" s="15"/>
      <c r="Q67" s="15"/>
      <c r="R67" s="30"/>
      <c r="S67" s="445" t="str">
        <f t="shared" si="6"/>
        <v/>
      </c>
      <c r="T67" s="445"/>
      <c r="U67" s="446" t="str">
        <f t="shared" si="7"/>
        <v/>
      </c>
      <c r="V67" s="446"/>
      <c r="W67" s="31"/>
      <c r="X67" s="31" t="e">
        <f t="shared" si="2"/>
        <v>#VALUE!</v>
      </c>
      <c r="Y67" s="32" t="str">
        <f t="shared" si="3"/>
        <v/>
      </c>
      <c r="Z67" s="8"/>
      <c r="AA67" s="8"/>
      <c r="AB67" s="8"/>
      <c r="AC67" s="8"/>
      <c r="AD67" s="8"/>
      <c r="AW67" s="27"/>
      <c r="AX67" s="27"/>
      <c r="AY67" s="27"/>
      <c r="AZ67" s="27"/>
      <c r="BA67" s="27"/>
      <c r="BB67" s="27"/>
      <c r="BC67" s="27"/>
      <c r="BD67" s="27"/>
      <c r="BE67" s="27"/>
      <c r="BF67" s="28"/>
      <c r="BG67" s="28"/>
      <c r="BH67" s="28"/>
    </row>
    <row r="68" spans="1:60" ht="20.25">
      <c r="A68" s="54"/>
      <c r="B68" s="86" t="str">
        <f t="shared" si="4"/>
        <v/>
      </c>
      <c r="C68" s="106" t="str">
        <f t="shared" si="0"/>
        <v/>
      </c>
      <c r="D68" s="87" t="str">
        <f t="shared" si="1"/>
        <v/>
      </c>
      <c r="E68" s="96"/>
      <c r="F68" s="85"/>
      <c r="G68" s="85"/>
      <c r="H68" s="56"/>
      <c r="I68" s="85"/>
      <c r="J68" s="15"/>
      <c r="K68" s="15"/>
      <c r="L68" s="15"/>
      <c r="M68" s="15"/>
      <c r="N68" s="15"/>
      <c r="O68" s="15"/>
      <c r="P68" s="15"/>
      <c r="Q68" s="15"/>
      <c r="R68" s="30"/>
      <c r="S68" s="445" t="str">
        <f t="shared" si="6"/>
        <v/>
      </c>
      <c r="T68" s="445"/>
      <c r="U68" s="446" t="str">
        <f t="shared" si="7"/>
        <v/>
      </c>
      <c r="V68" s="446"/>
      <c r="W68" s="31"/>
      <c r="X68" s="31" t="e">
        <f t="shared" si="2"/>
        <v>#VALUE!</v>
      </c>
      <c r="Y68" s="32" t="str">
        <f t="shared" si="3"/>
        <v/>
      </c>
      <c r="Z68" s="8"/>
      <c r="AA68" s="8"/>
      <c r="AB68" s="8"/>
      <c r="AC68" s="8"/>
      <c r="AD68" s="8"/>
      <c r="AW68" s="27"/>
      <c r="AX68" s="27"/>
      <c r="AY68" s="27"/>
      <c r="AZ68" s="27"/>
      <c r="BA68" s="27"/>
      <c r="BB68" s="27"/>
      <c r="BC68" s="27"/>
      <c r="BD68" s="27"/>
      <c r="BE68" s="27"/>
      <c r="BF68" s="28"/>
      <c r="BG68" s="28"/>
      <c r="BH68" s="28"/>
    </row>
    <row r="69" spans="1:60" ht="20.25">
      <c r="A69" s="54"/>
      <c r="B69" s="86" t="str">
        <f t="shared" si="4"/>
        <v/>
      </c>
      <c r="C69" s="106" t="str">
        <f t="shared" si="0"/>
        <v/>
      </c>
      <c r="D69" s="87" t="str">
        <f t="shared" si="1"/>
        <v/>
      </c>
      <c r="E69" s="96"/>
      <c r="F69" s="85"/>
      <c r="G69" s="85"/>
      <c r="H69" s="56"/>
      <c r="I69" s="85"/>
      <c r="J69" s="15"/>
      <c r="K69" s="15"/>
      <c r="L69" s="15"/>
      <c r="M69" s="15"/>
      <c r="N69" s="15"/>
      <c r="O69" s="15"/>
      <c r="P69" s="15"/>
      <c r="Q69" s="15"/>
      <c r="R69" s="30"/>
      <c r="S69" s="445" t="str">
        <f>IF(NOT(B69=AA45),$D$43*(($B$70-(B69-1))/((($B$70+1)/2)*$B$70)),"")</f>
        <v/>
      </c>
      <c r="T69" s="445"/>
      <c r="U69" s="446" t="str">
        <f>IF(NOT(B69=AA46),D69-T69,"")</f>
        <v/>
      </c>
      <c r="V69" s="446"/>
      <c r="W69" s="31"/>
      <c r="X69" s="31"/>
      <c r="Y69" s="32" t="str">
        <f>IF(PERIOD&lt;&gt;"",IF(DATE(YEAR(Y59),MONTH(Y59),DAY(Y59))&lt;=$K$43,DATE(YEAR(Y59),MONTH(Y59)+1,DAY(Y59)),""),"")</f>
        <v/>
      </c>
      <c r="Z69" s="8"/>
      <c r="AA69" s="8"/>
      <c r="AB69" s="8"/>
      <c r="AC69" s="8"/>
      <c r="AD69" s="8"/>
      <c r="AW69" s="27"/>
      <c r="AX69" s="27"/>
      <c r="AY69" s="27"/>
      <c r="AZ69" s="27"/>
      <c r="BA69" s="27"/>
      <c r="BB69" s="27"/>
      <c r="BC69" s="27"/>
      <c r="BD69" s="27"/>
      <c r="BE69" s="27"/>
      <c r="BF69" s="28"/>
      <c r="BG69" s="28"/>
      <c r="BH69" s="28"/>
    </row>
    <row r="70" spans="1:60" ht="20.25">
      <c r="A70" s="54"/>
      <c r="B70" s="98">
        <f>G13</f>
        <v>8</v>
      </c>
      <c r="C70" s="98"/>
      <c r="D70" s="99">
        <f>F43</f>
        <v>100706.71</v>
      </c>
      <c r="E70" s="100"/>
      <c r="F70" s="92"/>
      <c r="G70" s="92"/>
      <c r="H70" s="101"/>
      <c r="I70" s="85"/>
      <c r="J70" s="15"/>
      <c r="K70" s="15"/>
      <c r="L70" s="15"/>
      <c r="M70" s="15"/>
      <c r="N70" s="15"/>
      <c r="O70" s="15"/>
      <c r="P70" s="15"/>
      <c r="Q70" s="15"/>
      <c r="R70" s="30"/>
      <c r="S70" s="445">
        <f>SUM(S45:T69)</f>
        <v>19753.000000000004</v>
      </c>
      <c r="T70" s="445"/>
      <c r="U70" s="446">
        <f>SUM(U45:V69)</f>
        <v>80953.710000000021</v>
      </c>
      <c r="V70" s="446"/>
      <c r="W70" s="26"/>
      <c r="X70" s="26"/>
      <c r="Y70" s="26"/>
      <c r="Z70" s="8"/>
      <c r="AA70" s="8"/>
      <c r="AB70" s="8"/>
      <c r="AC70" s="8"/>
      <c r="AD70" s="8"/>
      <c r="AW70" s="27"/>
      <c r="AX70" s="27"/>
      <c r="AY70" s="27"/>
      <c r="AZ70" s="27"/>
      <c r="BA70" s="27"/>
      <c r="BB70" s="27"/>
      <c r="BC70" s="27"/>
      <c r="BD70" s="27"/>
      <c r="BE70" s="27"/>
      <c r="BF70" s="28"/>
      <c r="BG70" s="28"/>
      <c r="BH70" s="28"/>
    </row>
    <row r="71" spans="1:60" ht="17.25">
      <c r="A71" s="8"/>
      <c r="B71" s="8"/>
      <c r="C71" s="8"/>
      <c r="D71" s="8"/>
      <c r="E71" s="8"/>
      <c r="F71" s="34"/>
      <c r="G71" s="8"/>
      <c r="H71" s="34"/>
      <c r="I71" s="8"/>
      <c r="J71" s="8"/>
      <c r="K71" s="8"/>
      <c r="L71" s="8"/>
      <c r="M71" s="8"/>
      <c r="N71" s="8"/>
      <c r="O71" s="8"/>
      <c r="P71" s="8"/>
      <c r="Q71" s="8"/>
      <c r="R71" s="8"/>
    </row>
    <row r="72" spans="1:60" ht="17.25">
      <c r="A72" s="8"/>
      <c r="B72" s="24" t="s">
        <v>45</v>
      </c>
      <c r="C72" s="8"/>
      <c r="D72" s="8"/>
      <c r="E72" s="8"/>
      <c r="F72" s="8"/>
      <c r="G72" s="438"/>
      <c r="H72" s="438"/>
      <c r="I72" s="8"/>
      <c r="J72" s="8"/>
      <c r="K72" s="8"/>
      <c r="L72" s="8"/>
      <c r="M72" s="8"/>
      <c r="N72" s="8"/>
      <c r="O72" s="8"/>
      <c r="P72" s="8"/>
      <c r="Q72" s="8"/>
      <c r="R72" s="8"/>
    </row>
    <row r="73" spans="1:60" ht="51" customHeight="1">
      <c r="A73" s="8"/>
      <c r="C73" s="8"/>
      <c r="D73" s="8"/>
      <c r="E73" s="8"/>
      <c r="F73" s="436"/>
      <c r="G73" s="436"/>
      <c r="H73" s="436"/>
      <c r="I73" s="8"/>
      <c r="J73" s="8"/>
      <c r="K73" s="8"/>
      <c r="L73" s="8"/>
      <c r="N73" s="8"/>
      <c r="O73" s="8"/>
      <c r="P73" s="8"/>
      <c r="Q73" s="8"/>
      <c r="R73" s="8"/>
    </row>
    <row r="74" spans="1:60" ht="17.25">
      <c r="A74" s="8"/>
      <c r="B74" s="8"/>
      <c r="C74" s="8"/>
      <c r="D74" s="8"/>
      <c r="E74" s="8"/>
      <c r="F74" s="8"/>
      <c r="G74" s="8"/>
      <c r="I74" s="8"/>
      <c r="J74" s="8"/>
      <c r="K74" s="8"/>
      <c r="L74" s="8"/>
      <c r="M74" s="8"/>
      <c r="N74" s="8"/>
      <c r="O74" s="8"/>
      <c r="P74" s="8"/>
      <c r="Q74" s="8"/>
      <c r="R74" s="8"/>
    </row>
    <row r="75" spans="1:60" ht="17.25">
      <c r="A75" s="8"/>
      <c r="C75" s="8"/>
      <c r="D75" s="8"/>
      <c r="E75" s="8"/>
      <c r="F75" s="8"/>
      <c r="G75" s="8"/>
      <c r="H75" s="8"/>
      <c r="I75" s="8"/>
      <c r="J75" s="8"/>
      <c r="K75" s="8"/>
      <c r="L75" s="8"/>
      <c r="M75" s="8"/>
      <c r="N75" s="8"/>
      <c r="O75" s="8"/>
      <c r="P75" s="8"/>
      <c r="Q75" s="8"/>
      <c r="R75" s="8"/>
    </row>
    <row r="76" spans="1:60" ht="17.25">
      <c r="A76" s="10"/>
      <c r="B76" s="10"/>
      <c r="C76" s="10"/>
      <c r="D76" s="10"/>
      <c r="E76" s="10"/>
      <c r="F76" s="10"/>
      <c r="G76" s="10"/>
      <c r="H76" s="10"/>
      <c r="I76" s="10"/>
      <c r="J76" s="10"/>
      <c r="K76" s="8"/>
      <c r="L76" s="8"/>
      <c r="M76" s="8"/>
      <c r="N76" s="8"/>
      <c r="O76" s="8"/>
      <c r="P76" s="8"/>
      <c r="Q76" s="8"/>
      <c r="R76" s="8"/>
    </row>
    <row r="77" spans="1:60" ht="12.75" customHeight="1">
      <c r="A77" s="10"/>
      <c r="C77" s="10"/>
      <c r="D77" s="10"/>
      <c r="E77" s="10"/>
      <c r="F77" s="10"/>
      <c r="G77" s="10"/>
      <c r="H77" s="10"/>
      <c r="I77" s="10"/>
      <c r="J77" s="10"/>
    </row>
    <row r="78" spans="1:60" ht="7.5" customHeight="1">
      <c r="A78" s="10"/>
      <c r="C78" s="10"/>
      <c r="D78" s="10"/>
      <c r="E78" s="10"/>
      <c r="F78" s="10"/>
      <c r="G78" s="10"/>
      <c r="H78" s="10"/>
      <c r="I78" s="10"/>
      <c r="J78" s="10"/>
    </row>
    <row r="79" spans="1:60" ht="12.75" hidden="1" customHeight="1">
      <c r="A79" s="10"/>
      <c r="B79" s="10"/>
      <c r="C79" s="10"/>
      <c r="D79" s="10"/>
      <c r="E79" s="10"/>
      <c r="F79" s="10"/>
      <c r="G79" s="10"/>
      <c r="H79" s="10"/>
      <c r="I79" s="10"/>
      <c r="J79" s="10"/>
    </row>
    <row r="80" spans="1:60" ht="12.75" hidden="1" customHeight="1">
      <c r="A80" s="10"/>
      <c r="B80" s="10"/>
      <c r="C80" s="10"/>
      <c r="D80" s="10"/>
      <c r="E80" s="10"/>
      <c r="F80" s="10"/>
      <c r="G80" s="10"/>
      <c r="H80" s="10"/>
      <c r="I80" s="10"/>
      <c r="J80" s="10"/>
    </row>
    <row r="81" spans="13:13" ht="17.25">
      <c r="M81" s="10"/>
    </row>
    <row r="87" spans="13:13" ht="17.25">
      <c r="M87" s="10"/>
    </row>
  </sheetData>
  <sheetProtection password="CC45" sheet="1" objects="1" scenarios="1" insertColumns="0" insertRows="0" selectLockedCells="1"/>
  <mergeCells count="72">
    <mergeCell ref="G56:H56"/>
    <mergeCell ref="A4:I4"/>
    <mergeCell ref="A5:I5"/>
    <mergeCell ref="A6:I6"/>
    <mergeCell ref="A8:I8"/>
    <mergeCell ref="A9:B9"/>
    <mergeCell ref="A15:I15"/>
    <mergeCell ref="A40:I40"/>
    <mergeCell ref="E9:F9"/>
    <mergeCell ref="C10:D12"/>
    <mergeCell ref="B43:C43"/>
    <mergeCell ref="D43:E43"/>
    <mergeCell ref="F43:H43"/>
    <mergeCell ref="F42:H42"/>
    <mergeCell ref="A10:B11"/>
    <mergeCell ref="S44:T44"/>
    <mergeCell ref="U44:V44"/>
    <mergeCell ref="S45:T45"/>
    <mergeCell ref="U45:V45"/>
    <mergeCell ref="A12:B14"/>
    <mergeCell ref="S46:T46"/>
    <mergeCell ref="U46:V46"/>
    <mergeCell ref="S47:T47"/>
    <mergeCell ref="U47:V47"/>
    <mergeCell ref="S48:T48"/>
    <mergeCell ref="U48:V48"/>
    <mergeCell ref="S49:T49"/>
    <mergeCell ref="U49:V49"/>
    <mergeCell ref="S50:T50"/>
    <mergeCell ref="U50:V50"/>
    <mergeCell ref="S51:T51"/>
    <mergeCell ref="U51:V51"/>
    <mergeCell ref="S52:T52"/>
    <mergeCell ref="U52:V52"/>
    <mergeCell ref="S53:T53"/>
    <mergeCell ref="U53:V53"/>
    <mergeCell ref="S54:T54"/>
    <mergeCell ref="U54:V54"/>
    <mergeCell ref="S55:T55"/>
    <mergeCell ref="U55:V55"/>
    <mergeCell ref="S56:T56"/>
    <mergeCell ref="U56:V56"/>
    <mergeCell ref="S57:T57"/>
    <mergeCell ref="U57:V57"/>
    <mergeCell ref="S58:T58"/>
    <mergeCell ref="U58:V58"/>
    <mergeCell ref="S59:T59"/>
    <mergeCell ref="U59:V59"/>
    <mergeCell ref="S60:T60"/>
    <mergeCell ref="U60:V60"/>
    <mergeCell ref="S61:T61"/>
    <mergeCell ref="U61:V61"/>
    <mergeCell ref="S66:T66"/>
    <mergeCell ref="U66:V66"/>
    <mergeCell ref="S67:T67"/>
    <mergeCell ref="U67:V67"/>
    <mergeCell ref="S62:T62"/>
    <mergeCell ref="U62:V62"/>
    <mergeCell ref="S63:T63"/>
    <mergeCell ref="U63:V63"/>
    <mergeCell ref="S64:T64"/>
    <mergeCell ref="U64:V64"/>
    <mergeCell ref="S65:T65"/>
    <mergeCell ref="U65:V65"/>
    <mergeCell ref="G72:H72"/>
    <mergeCell ref="F73:H73"/>
    <mergeCell ref="S68:T68"/>
    <mergeCell ref="U68:V68"/>
    <mergeCell ref="S69:T69"/>
    <mergeCell ref="U69:V69"/>
    <mergeCell ref="S70:T70"/>
    <mergeCell ref="U70:V70"/>
  </mergeCells>
  <printOptions horizontalCentered="1"/>
  <pageMargins left="0.22" right="0.19" top="0" bottom="1" header="0.12" footer="0.5"/>
  <pageSetup paperSize="5" scale="54" orientation="portrait" horizontalDpi="120" verticalDpi="7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0]!Button2_Click">
                <anchor moveWithCells="1" sizeWithCells="1">
                  <from>
                    <xdr:col>9</xdr:col>
                    <xdr:colOff>619125</xdr:colOff>
                    <xdr:row>1</xdr:row>
                    <xdr:rowOff>180975</xdr:rowOff>
                  </from>
                  <to>
                    <xdr:col>9</xdr:col>
                    <xdr:colOff>2143125</xdr:colOff>
                    <xdr:row>5</xdr:row>
                    <xdr:rowOff>66675</xdr:rowOff>
                  </to>
                </anchor>
              </controlPr>
            </control>
          </mc:Choice>
        </mc:AlternateContent>
        <mc:AlternateContent xmlns:mc="http://schemas.openxmlformats.org/markup-compatibility/2006">
          <mc:Choice Requires="x14">
            <control shapeId="14338" r:id="rId5" name="Button 2">
              <controlPr defaultSize="0" print="0" autoFill="0" autoPict="0" macro="[0]!Button97_Click">
                <anchor moveWithCells="1" sizeWithCells="1">
                  <from>
                    <xdr:col>9</xdr:col>
                    <xdr:colOff>590550</xdr:colOff>
                    <xdr:row>5</xdr:row>
                    <xdr:rowOff>142875</xdr:rowOff>
                  </from>
                  <to>
                    <xdr:col>9</xdr:col>
                    <xdr:colOff>2143125</xdr:colOff>
                    <xdr:row>8</xdr:row>
                    <xdr:rowOff>85725</xdr:rowOff>
                  </to>
                </anchor>
              </controlPr>
            </control>
          </mc:Choice>
        </mc:AlternateContent>
        <mc:AlternateContent xmlns:mc="http://schemas.openxmlformats.org/markup-compatibility/2006">
          <mc:Choice Requires="x14">
            <control shapeId="14339" r:id="rId6" name="Button 3">
              <controlPr defaultSize="0" print="0" autoFill="0" autoPict="0" macro="[0]!saveas">
                <anchor moveWithCells="1">
                  <from>
                    <xdr:col>9</xdr:col>
                    <xdr:colOff>619125</xdr:colOff>
                    <xdr:row>8</xdr:row>
                    <xdr:rowOff>180975</xdr:rowOff>
                  </from>
                  <to>
                    <xdr:col>9</xdr:col>
                    <xdr:colOff>2133600</xdr:colOff>
                    <xdr:row>10</xdr:row>
                    <xdr:rowOff>219075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rgb="FFFF0000"/>
  </sheetPr>
  <dimension ref="A1:BI109"/>
  <sheetViews>
    <sheetView showGridLines="0" zoomScale="70" zoomScaleNormal="70" workbookViewId="0">
      <selection activeCell="C53" sqref="C53"/>
    </sheetView>
  </sheetViews>
  <sheetFormatPr defaultRowHeight="13.5"/>
  <cols>
    <col min="1" max="1" width="12.7109375" style="3" customWidth="1"/>
    <col min="2" max="2" width="13.7109375" style="3" customWidth="1"/>
    <col min="3" max="3" width="28.85546875" style="3" customWidth="1"/>
    <col min="4" max="4" width="19.28515625" style="3" customWidth="1"/>
    <col min="5" max="5" width="20.140625" style="3" customWidth="1"/>
    <col min="6" max="6" width="19.42578125" style="3" customWidth="1"/>
    <col min="7" max="7" width="11.85546875" style="3" customWidth="1"/>
    <col min="8" max="8" width="20" style="3" customWidth="1"/>
    <col min="9" max="9" width="17.42578125" style="3" customWidth="1"/>
    <col min="10" max="10" width="81.140625" style="3" customWidth="1"/>
    <col min="11" max="11" width="18.5703125" style="3" bestFit="1" customWidth="1"/>
    <col min="12" max="12" width="19.42578125" style="3" bestFit="1" customWidth="1"/>
    <col min="13" max="13" width="13.140625" style="3" customWidth="1"/>
    <col min="14" max="14" width="13.7109375" style="3" bestFit="1" customWidth="1"/>
    <col min="15" max="15" width="15" style="3" customWidth="1"/>
    <col min="16" max="18" width="13.140625" style="3" customWidth="1"/>
    <col min="19" max="19" width="11.140625" style="3" customWidth="1"/>
    <col min="20" max="20" width="9.140625" style="4"/>
    <col min="21" max="21" width="19.7109375" style="3" customWidth="1"/>
    <col min="22" max="22" width="9.140625" style="3"/>
    <col min="23" max="23" width="9.28515625" style="3" customWidth="1"/>
    <col min="24" max="24" width="9.140625" style="3"/>
    <col min="25" max="25" width="19.42578125" style="3" bestFit="1" customWidth="1"/>
    <col min="26" max="16384" width="9.140625" style="3"/>
  </cols>
  <sheetData>
    <row r="1" spans="1:23" ht="7.5" customHeight="1"/>
    <row r="2" spans="1:23" ht="56.25" customHeight="1">
      <c r="A2" s="413"/>
      <c r="B2" s="413"/>
      <c r="C2" s="413"/>
      <c r="D2" s="413"/>
      <c r="E2" s="413"/>
      <c r="F2" s="413"/>
      <c r="G2" s="413"/>
      <c r="H2" s="413"/>
      <c r="I2" s="413"/>
      <c r="J2" s="5"/>
      <c r="K2" s="5"/>
      <c r="L2" s="5"/>
      <c r="M2" s="5"/>
      <c r="N2" s="5"/>
      <c r="O2" s="5"/>
      <c r="P2" s="5"/>
      <c r="Q2" s="5"/>
      <c r="R2" s="5"/>
    </row>
    <row r="3" spans="1:23" ht="19.5" customHeight="1">
      <c r="A3" s="5"/>
      <c r="B3" s="5"/>
      <c r="C3" s="5"/>
      <c r="D3" s="5"/>
      <c r="E3" s="36"/>
      <c r="F3" s="5"/>
      <c r="G3" s="5"/>
      <c r="H3" s="5"/>
      <c r="I3" s="5"/>
      <c r="J3" s="5"/>
      <c r="K3" s="5"/>
      <c r="L3" s="5"/>
      <c r="M3" s="5"/>
      <c r="N3" s="5"/>
      <c r="O3" s="5"/>
      <c r="P3" s="5"/>
      <c r="Q3" s="5"/>
      <c r="R3" s="5"/>
    </row>
    <row r="4" spans="1:23">
      <c r="A4" s="431" t="s">
        <v>33</v>
      </c>
      <c r="B4" s="431"/>
      <c r="C4" s="431"/>
      <c r="D4" s="431"/>
      <c r="E4" s="431"/>
      <c r="F4" s="431"/>
      <c r="G4" s="431"/>
      <c r="H4" s="431"/>
      <c r="I4" s="431"/>
      <c r="J4" s="6"/>
      <c r="K4" s="6"/>
      <c r="L4" s="6"/>
      <c r="M4" s="6"/>
      <c r="N4" s="6"/>
      <c r="O4" s="6"/>
      <c r="P4" s="6"/>
      <c r="Q4" s="6"/>
      <c r="R4" s="6"/>
    </row>
    <row r="5" spans="1:23">
      <c r="A5" s="431" t="s">
        <v>32</v>
      </c>
      <c r="B5" s="431"/>
      <c r="C5" s="431"/>
      <c r="D5" s="431"/>
      <c r="E5" s="431"/>
      <c r="F5" s="431"/>
      <c r="G5" s="431"/>
      <c r="H5" s="431"/>
      <c r="I5" s="431"/>
      <c r="J5" s="6"/>
      <c r="K5" s="6"/>
      <c r="L5" s="6"/>
      <c r="M5" s="6"/>
      <c r="N5" s="6"/>
      <c r="O5" s="6"/>
      <c r="P5" s="6"/>
      <c r="Q5" s="6"/>
      <c r="R5" s="6"/>
    </row>
    <row r="6" spans="1:23">
      <c r="A6" s="431" t="s">
        <v>34</v>
      </c>
      <c r="B6" s="431"/>
      <c r="C6" s="431"/>
      <c r="D6" s="431"/>
      <c r="E6" s="431"/>
      <c r="F6" s="431"/>
      <c r="G6" s="431"/>
      <c r="H6" s="431"/>
      <c r="I6" s="431"/>
      <c r="J6" s="6"/>
      <c r="K6" s="6"/>
      <c r="L6" s="6"/>
      <c r="M6" s="6"/>
      <c r="N6" s="6"/>
      <c r="O6" s="6"/>
      <c r="P6" s="6"/>
      <c r="Q6" s="6"/>
      <c r="R6" s="6"/>
    </row>
    <row r="7" spans="1:23" ht="48.75" customHeight="1">
      <c r="A7" s="451" t="str">
        <f>UPPER("Computation Sheet and Payment Schedule")</f>
        <v>COMPUTATION SHEET AND PAYMENT SCHEDULE</v>
      </c>
      <c r="B7" s="451"/>
      <c r="C7" s="451"/>
      <c r="D7" s="451"/>
      <c r="E7" s="451"/>
      <c r="F7" s="451"/>
      <c r="G7" s="451"/>
      <c r="H7" s="451"/>
      <c r="I7" s="451"/>
      <c r="J7" s="7"/>
      <c r="K7" s="7"/>
      <c r="L7" s="7"/>
      <c r="M7" s="7"/>
      <c r="N7" s="7"/>
      <c r="O7" s="7"/>
      <c r="P7" s="7"/>
      <c r="Q7" s="7"/>
      <c r="R7" s="7"/>
    </row>
    <row r="8" spans="1:23" ht="15.75" customHeight="1">
      <c r="A8" s="415" t="s">
        <v>0</v>
      </c>
      <c r="B8" s="415"/>
      <c r="C8" s="41" t="s">
        <v>1</v>
      </c>
      <c r="D8" s="43"/>
      <c r="E8" s="416" t="s">
        <v>2</v>
      </c>
      <c r="F8" s="416"/>
      <c r="G8" s="43"/>
      <c r="H8" s="43" t="s">
        <v>3</v>
      </c>
      <c r="I8" s="44"/>
      <c r="J8" s="8"/>
      <c r="K8" s="8"/>
      <c r="L8" s="8"/>
      <c r="M8" s="8"/>
      <c r="N8" s="8"/>
      <c r="O8" s="8"/>
      <c r="P8" s="8"/>
      <c r="Q8" s="8"/>
      <c r="R8" s="8"/>
    </row>
    <row r="9" spans="1:23" ht="21" customHeight="1">
      <c r="A9" s="418" t="str">
        <f>IF(OR_NAME&lt;&gt;"",Client_Name &amp;" or " &amp; OR_NAME,Client_Name)</f>
        <v>** or **</v>
      </c>
      <c r="B9" s="418"/>
      <c r="C9" s="418" t="str">
        <f>PROPER('Master data Input'!C8)</f>
        <v>**</v>
      </c>
      <c r="D9" s="418"/>
      <c r="E9" s="45"/>
      <c r="F9" s="42" t="str">
        <f>Type_of_Loan&amp;TEXT(IF(Express="YES","-EXPRESS",""),"")</f>
        <v>SML</v>
      </c>
      <c r="G9" s="42"/>
      <c r="H9" s="42" t="s">
        <v>5</v>
      </c>
      <c r="I9" s="107">
        <f>DATEDIF(Start_Payment,Maturitydate,"d")/30</f>
        <v>7.1333333333333337</v>
      </c>
      <c r="J9" s="9">
        <f>Terms</f>
        <v>7.1333333333333337</v>
      </c>
      <c r="K9" s="9"/>
      <c r="L9" s="10"/>
      <c r="M9" s="10"/>
      <c r="N9" s="10"/>
      <c r="O9" s="10"/>
      <c r="P9" s="10"/>
      <c r="Q9" s="10"/>
      <c r="R9" s="10"/>
    </row>
    <row r="10" spans="1:23" ht="33.75" customHeight="1">
      <c r="A10" s="418"/>
      <c r="B10" s="418"/>
      <c r="C10" s="418"/>
      <c r="D10" s="418"/>
      <c r="E10" s="42"/>
      <c r="F10" s="48" t="s">
        <v>30</v>
      </c>
      <c r="G10" s="49">
        <f>Interest</f>
        <v>0.03</v>
      </c>
      <c r="H10" s="45" t="s">
        <v>56</v>
      </c>
      <c r="I10" s="45" t="s">
        <v>4</v>
      </c>
      <c r="J10" s="10"/>
      <c r="K10" s="10"/>
      <c r="L10" s="10"/>
      <c r="M10" s="10"/>
      <c r="N10" s="10"/>
      <c r="O10" s="10"/>
      <c r="P10" s="10"/>
      <c r="Q10" s="10"/>
      <c r="R10" s="10"/>
    </row>
    <row r="11" spans="1:23" ht="28.5" customHeight="1">
      <c r="A11" s="418" t="str">
        <f>IF(UPPER(OR_NAME)&lt;&gt;" ",UPPER(OR_NAME),".")</f>
        <v>**</v>
      </c>
      <c r="B11" s="418"/>
      <c r="C11" s="418"/>
      <c r="D11" s="418"/>
      <c r="E11" s="42"/>
      <c r="F11" s="42"/>
      <c r="G11" s="48"/>
      <c r="H11" s="102">
        <f>Date_Released</f>
        <v>46083</v>
      </c>
      <c r="I11" s="103">
        <f>MaturityDate_data_input</f>
        <v>46342</v>
      </c>
      <c r="K11" s="11"/>
      <c r="L11" s="11"/>
      <c r="M11" s="11">
        <f>'Master data Input'!F30</f>
        <v>46342</v>
      </c>
      <c r="N11" s="11" t="s">
        <v>68</v>
      </c>
      <c r="O11" s="12">
        <f>I9</f>
        <v>7.1333333333333337</v>
      </c>
      <c r="P11" s="11"/>
      <c r="Q11" s="11"/>
      <c r="R11" s="11"/>
    </row>
    <row r="12" spans="1:23" ht="18.75" customHeight="1">
      <c r="A12" s="418"/>
      <c r="B12" s="418"/>
      <c r="C12" s="52"/>
      <c r="D12" s="52"/>
      <c r="E12" s="42"/>
      <c r="F12" s="48" t="s">
        <v>31</v>
      </c>
      <c r="G12" s="48">
        <f>Number_of_Amortization</f>
        <v>8</v>
      </c>
      <c r="H12" s="45"/>
      <c r="I12" s="54"/>
      <c r="J12" s="8"/>
      <c r="K12" s="8"/>
      <c r="L12" s="8"/>
      <c r="M12" s="8"/>
      <c r="N12" s="8"/>
      <c r="O12" s="8"/>
      <c r="P12" s="8"/>
      <c r="Q12" s="8"/>
      <c r="R12" s="8"/>
    </row>
    <row r="13" spans="1:23" ht="15" customHeight="1">
      <c r="A13" s="418"/>
      <c r="B13" s="418"/>
      <c r="C13" s="42"/>
      <c r="D13" s="42"/>
      <c r="E13" s="42"/>
      <c r="F13" s="42"/>
      <c r="G13" s="42"/>
      <c r="H13" s="54"/>
      <c r="I13" s="54"/>
      <c r="J13" s="8"/>
      <c r="K13" s="8"/>
      <c r="L13" s="8"/>
      <c r="M13" s="13">
        <f>IF(U26&lt;H11,H11,U26)</f>
        <v>46098</v>
      </c>
      <c r="N13" s="8"/>
      <c r="O13" s="8"/>
      <c r="P13" s="8"/>
      <c r="Q13" s="8"/>
      <c r="R13" s="8"/>
    </row>
    <row r="14" spans="1:23" ht="20.25">
      <c r="A14" s="435" t="s">
        <v>6</v>
      </c>
      <c r="B14" s="435"/>
      <c r="C14" s="435"/>
      <c r="D14" s="435"/>
      <c r="E14" s="435"/>
      <c r="F14" s="435"/>
      <c r="G14" s="435"/>
      <c r="H14" s="435"/>
      <c r="I14" s="435"/>
      <c r="J14" s="14"/>
      <c r="K14" s="14"/>
      <c r="L14" s="14"/>
      <c r="M14" s="14"/>
      <c r="N14" s="14"/>
      <c r="O14" s="14"/>
      <c r="P14" s="14"/>
      <c r="Q14" s="14"/>
      <c r="R14" s="14"/>
    </row>
    <row r="15" spans="1:23" ht="11.25" customHeight="1">
      <c r="A15" s="54"/>
      <c r="B15" s="54"/>
      <c r="C15" s="54"/>
      <c r="D15" s="54"/>
      <c r="E15" s="54"/>
      <c r="F15" s="54"/>
      <c r="G15" s="54"/>
      <c r="H15" s="54"/>
      <c r="I15" s="54"/>
      <c r="J15" s="8"/>
      <c r="K15" s="8"/>
      <c r="L15" s="8"/>
      <c r="M15" s="8"/>
      <c r="N15" s="8"/>
      <c r="O15" s="8"/>
      <c r="P15" s="8"/>
      <c r="Q15" s="8"/>
      <c r="R15" s="8"/>
      <c r="W15" s="3">
        <v>7</v>
      </c>
    </row>
    <row r="16" spans="1:23" ht="20.25">
      <c r="A16" s="55" t="s">
        <v>99</v>
      </c>
      <c r="B16" s="54"/>
      <c r="C16" s="54"/>
      <c r="D16" s="54"/>
      <c r="E16" s="54"/>
      <c r="F16" s="56">
        <f>Loan_Amount</f>
        <v>80953.710000000006</v>
      </c>
      <c r="G16" s="54"/>
      <c r="H16" s="54"/>
      <c r="I16" s="54"/>
      <c r="J16" s="8"/>
      <c r="K16" s="8"/>
      <c r="L16" s="8"/>
      <c r="M16" s="8"/>
      <c r="N16" s="8"/>
      <c r="O16" s="8"/>
      <c r="P16" s="8"/>
      <c r="Q16" s="8"/>
      <c r="R16" s="8"/>
    </row>
    <row r="17" spans="1:24" ht="20.25">
      <c r="A17" s="54"/>
      <c r="B17" s="54"/>
      <c r="C17" s="54"/>
      <c r="D17" s="54"/>
      <c r="E17" s="54"/>
      <c r="F17" s="57"/>
      <c r="G17" s="54"/>
      <c r="H17" s="54"/>
      <c r="I17" s="54"/>
      <c r="J17" s="8"/>
      <c r="K17" s="8"/>
      <c r="L17" s="8"/>
      <c r="M17" s="8"/>
      <c r="N17" s="8"/>
      <c r="O17" s="8"/>
      <c r="P17" s="8"/>
      <c r="Q17" s="8"/>
      <c r="R17" s="8"/>
    </row>
    <row r="18" spans="1:24" ht="20.25">
      <c r="A18" s="54" t="s">
        <v>7</v>
      </c>
      <c r="B18" s="54"/>
      <c r="C18" s="54"/>
      <c r="D18" s="54"/>
      <c r="E18" s="54"/>
      <c r="F18" s="57"/>
      <c r="G18" s="54" t="s">
        <v>106</v>
      </c>
      <c r="H18" s="54"/>
      <c r="I18" s="58" t="str">
        <f>IF(I19&gt;0,"NO", "YES")</f>
        <v>NO</v>
      </c>
      <c r="J18" s="8"/>
      <c r="K18" s="8"/>
      <c r="L18" s="8"/>
      <c r="M18" s="8"/>
      <c r="N18" s="8"/>
      <c r="O18" s="8"/>
      <c r="P18" s="8"/>
      <c r="Q18" s="8"/>
      <c r="R18" s="8"/>
    </row>
    <row r="19" spans="1:24" ht="20.25">
      <c r="A19" s="54" t="s">
        <v>8</v>
      </c>
      <c r="B19" s="59">
        <f>Interest</f>
        <v>0.03</v>
      </c>
      <c r="C19" s="54" t="str">
        <f>"from"&amp;TEXT(Date_Released," mm/dd/yyyy")&amp;" to "&amp;TEXT(Date_released2," mm/dd/yyyy")</f>
        <v>from 03/02/2026 to  03/17/2026</v>
      </c>
      <c r="D19" s="54"/>
      <c r="E19" s="60">
        <f>IF(Type_of_Loan="BL-SA",ROUND(Principal_Amount*(Interest/30)*DATEDIF(Date_Released,MaturityDate1,"D"),0),ROUND(Principal_Amount*(Interest/30)*DATEDIF(Date_Released,Date_released2,"d"),0))</f>
        <v>1214</v>
      </c>
      <c r="F19" s="61"/>
      <c r="G19" s="54" t="s">
        <v>14</v>
      </c>
      <c r="H19" s="54"/>
      <c r="I19" s="62" t="str">
        <f>'Master data Input'!C18</f>
        <v>No</v>
      </c>
      <c r="J19" s="15">
        <f>E19+D42/B42-(360/DATEDIF(H11,I11,"d"))</f>
        <v>1212.8540422511317</v>
      </c>
      <c r="K19" s="8"/>
      <c r="L19" s="8">
        <f>DATEDIF(H11,C44,"d")</f>
        <v>45</v>
      </c>
      <c r="M19" s="8" t="s">
        <v>47</v>
      </c>
      <c r="N19" s="8"/>
      <c r="O19" s="8"/>
      <c r="P19" s="8"/>
      <c r="Q19" s="8"/>
      <c r="R19" s="8"/>
    </row>
    <row r="20" spans="1:24" ht="20.25">
      <c r="A20" s="54" t="s">
        <v>98</v>
      </c>
      <c r="B20" s="54"/>
      <c r="C20" s="64">
        <f>Processing_Fee_in_Percentage</f>
        <v>7.4999999999999997E-2</v>
      </c>
      <c r="D20" s="54"/>
      <c r="E20" s="65">
        <f>Processing_Fee_in_Percentage*Principal_Amount</f>
        <v>6071.5282500000003</v>
      </c>
      <c r="F20" s="57"/>
      <c r="G20" s="54" t="s">
        <v>95</v>
      </c>
      <c r="H20" s="54"/>
      <c r="I20" s="66" t="str">
        <f>Installment_Type</f>
        <v>Monthly</v>
      </c>
      <c r="J20" s="8"/>
      <c r="K20" s="8"/>
      <c r="L20" s="8">
        <f>DATEDIF(H11,M13,"D")</f>
        <v>15</v>
      </c>
      <c r="M20" s="8"/>
      <c r="N20" s="8"/>
      <c r="O20" s="8"/>
      <c r="P20" s="8"/>
      <c r="Q20" s="8"/>
      <c r="R20" s="8"/>
      <c r="U20" s="16"/>
    </row>
    <row r="21" spans="1:24" ht="20.25">
      <c r="A21" s="54" t="s">
        <v>50</v>
      </c>
      <c r="B21" s="54"/>
      <c r="C21" s="64"/>
      <c r="D21" s="54"/>
      <c r="E21" s="65" t="str">
        <f>Account_Management_fee</f>
        <v>Auto compute**</v>
      </c>
      <c r="F21" s="57"/>
      <c r="G21" s="54"/>
      <c r="H21" s="54"/>
      <c r="I21" s="54"/>
      <c r="J21" s="8"/>
      <c r="K21" s="8"/>
      <c r="L21" s="8"/>
      <c r="M21" s="8"/>
      <c r="N21" s="8"/>
      <c r="O21" s="8"/>
      <c r="P21" s="8"/>
      <c r="Q21" s="8"/>
      <c r="R21" s="8"/>
      <c r="U21" s="16"/>
    </row>
    <row r="22" spans="1:24" ht="20.25">
      <c r="A22" s="54" t="s">
        <v>11</v>
      </c>
      <c r="B22" s="54"/>
      <c r="C22" s="64"/>
      <c r="D22" s="54"/>
      <c r="E22" s="70">
        <f>Notarial_Fee</f>
        <v>500</v>
      </c>
      <c r="F22" s="57"/>
      <c r="G22" s="54"/>
      <c r="H22" s="54"/>
      <c r="I22" s="54"/>
      <c r="J22" s="8"/>
      <c r="K22" s="8"/>
      <c r="L22" s="8"/>
      <c r="M22" s="8"/>
      <c r="N22" s="8"/>
      <c r="O22" s="8"/>
      <c r="P22" s="8"/>
      <c r="Q22" s="8"/>
      <c r="R22" s="8"/>
      <c r="U22" s="16"/>
    </row>
    <row r="23" spans="1:24" ht="20.25">
      <c r="A23" s="54" t="s">
        <v>42</v>
      </c>
      <c r="B23" s="54"/>
      <c r="C23" s="64"/>
      <c r="D23" s="54"/>
      <c r="E23" s="70">
        <f>IF(Docfee_Yes_or_No="YES",ROUNDUP(Principal_Amount/200,0),0)</f>
        <v>0</v>
      </c>
      <c r="F23" s="57"/>
      <c r="G23" s="54"/>
      <c r="H23" s="54"/>
      <c r="I23" s="54"/>
      <c r="J23" s="8"/>
      <c r="K23" s="8"/>
      <c r="L23" s="8"/>
      <c r="M23" s="8"/>
      <c r="N23" s="8"/>
      <c r="O23" s="8"/>
      <c r="P23" s="8"/>
      <c r="Q23" s="8"/>
      <c r="R23" s="8"/>
      <c r="U23" s="16"/>
    </row>
    <row r="24" spans="1:24" ht="20.25">
      <c r="A24" s="54" t="str">
        <f>'Master data Input'!B42</f>
        <v>MLRI -Insurance</v>
      </c>
      <c r="E24" s="228" t="str">
        <f>Insurance</f>
        <v>Auto compute**</v>
      </c>
      <c r="F24" s="57"/>
      <c r="G24" s="54"/>
      <c r="H24" s="54"/>
      <c r="I24" s="54"/>
      <c r="J24" s="8"/>
      <c r="K24" s="8"/>
      <c r="L24" s="8"/>
      <c r="M24" s="8"/>
      <c r="N24" s="8"/>
      <c r="O24" s="8"/>
      <c r="P24" s="8"/>
      <c r="Q24" s="8"/>
      <c r="R24" s="8"/>
      <c r="U24" s="16"/>
    </row>
    <row r="25" spans="1:24" ht="20.25">
      <c r="A25" s="54" t="str">
        <f>'Master data Input'!B45</f>
        <v>Miscellaneous</v>
      </c>
      <c r="B25" s="54"/>
      <c r="C25" s="64"/>
      <c r="D25" s="54"/>
      <c r="E25" s="70">
        <f>'Master data Input'!C45</f>
        <v>500</v>
      </c>
      <c r="F25" s="57"/>
      <c r="G25" s="54" t="s">
        <v>15</v>
      </c>
      <c r="H25" s="54"/>
      <c r="I25" s="58"/>
      <c r="J25" s="8"/>
      <c r="K25" s="8"/>
      <c r="L25" s="8">
        <f>DATEDIF(M13,M11,"D")</f>
        <v>244</v>
      </c>
      <c r="M25" s="8"/>
      <c r="N25" s="8"/>
      <c r="O25" s="8"/>
      <c r="P25" s="8"/>
      <c r="Q25" s="8"/>
      <c r="R25" s="8"/>
    </row>
    <row r="26" spans="1:24" ht="21" thickBot="1">
      <c r="A26" s="54" t="s">
        <v>9</v>
      </c>
      <c r="B26" s="54"/>
      <c r="C26" s="54"/>
      <c r="D26" s="54"/>
      <c r="E26" s="67">
        <f>SUM(E19:E25)</f>
        <v>8285.5282499999994</v>
      </c>
      <c r="F26" s="57"/>
      <c r="G26" s="54"/>
      <c r="H26" s="54"/>
      <c r="I26" s="54"/>
      <c r="J26" s="8"/>
      <c r="K26" s="8"/>
      <c r="L26" s="8">
        <f>DATEDIF(H11,M11,"D")</f>
        <v>259</v>
      </c>
      <c r="M26" s="8"/>
      <c r="N26" s="8"/>
      <c r="O26" s="8"/>
      <c r="P26" s="8"/>
      <c r="Q26" s="8"/>
      <c r="R26" s="8"/>
      <c r="U26" s="16">
        <f>DATE(YEAR(C44),MONTH(C44),DAY(C44)-30)</f>
        <v>46098</v>
      </c>
    </row>
    <row r="27" spans="1:24" ht="21" thickTop="1">
      <c r="F27" s="57"/>
      <c r="G27" s="54" t="s">
        <v>62</v>
      </c>
      <c r="H27" s="58" t="str">
        <f>"PN-"&amp;TEXT('Master data Input'!F10,"0000-  ")&amp;TEXT(" "," ")&amp;'Master data Input'!C14</f>
        <v>PN-. SML</v>
      </c>
      <c r="I27" s="58"/>
      <c r="J27" s="8"/>
      <c r="K27" s="8"/>
      <c r="L27" s="8"/>
      <c r="M27" s="8"/>
      <c r="N27" s="8"/>
      <c r="O27" s="8"/>
      <c r="P27" s="8"/>
      <c r="Q27" s="8"/>
      <c r="R27" s="8"/>
    </row>
    <row r="28" spans="1:24" ht="20.25">
      <c r="A28" s="68" t="s">
        <v>10</v>
      </c>
      <c r="B28" s="54"/>
      <c r="C28" s="54"/>
      <c r="D28" s="54"/>
      <c r="E28" s="54"/>
      <c r="F28" s="57"/>
      <c r="G28" s="54"/>
      <c r="H28" s="54"/>
      <c r="I28" s="54"/>
      <c r="J28" s="8"/>
      <c r="K28" s="8"/>
      <c r="L28" s="8"/>
      <c r="M28" s="8"/>
      <c r="N28" s="8"/>
      <c r="O28" s="8"/>
      <c r="P28" s="8" t="str">
        <f>TEXT($L$19,"0")&amp;"/"&amp;TEXT($L$20,"0")&amp;"/"&amp;TEXT($L$25,"0")&amp;"/"&amp;TEXT($L$26,"0")</f>
        <v>45/15/244/259</v>
      </c>
      <c r="Q28" s="8"/>
      <c r="R28" s="8"/>
      <c r="X28" s="3">
        <f>45000*0.15*(305/360)</f>
        <v>5718.75</v>
      </c>
    </row>
    <row r="29" spans="1:24" ht="20.25">
      <c r="A29" s="54" t="str">
        <f>'Master data Input'!B12</f>
        <v>Outstanding Balance from previous loan</v>
      </c>
      <c r="B29" s="54"/>
      <c r="C29" s="54"/>
      <c r="D29" s="54"/>
      <c r="E29" s="69">
        <f>Outstanding_Balance_from_previous_loan</f>
        <v>0</v>
      </c>
      <c r="F29" s="57"/>
      <c r="G29" s="54"/>
      <c r="H29" s="54"/>
      <c r="I29" s="54"/>
      <c r="J29" s="8"/>
      <c r="K29" s="8"/>
      <c r="L29" s="8">
        <f>DATEDIF(M13,C44,"d")</f>
        <v>30</v>
      </c>
      <c r="M29" s="8"/>
      <c r="N29" s="8"/>
      <c r="O29" s="8"/>
      <c r="P29" s="8"/>
      <c r="Q29" s="8"/>
      <c r="R29" s="8"/>
    </row>
    <row r="30" spans="1:24" ht="20.25">
      <c r="A30" s="54" t="s">
        <v>150</v>
      </c>
      <c r="B30" s="54"/>
      <c r="C30" s="54"/>
      <c r="D30" s="54"/>
      <c r="E30" s="69">
        <f>Advanced_Payment</f>
        <v>0</v>
      </c>
      <c r="F30" s="57"/>
      <c r="G30" s="54"/>
      <c r="H30" s="54"/>
      <c r="I30" s="54"/>
      <c r="J30" s="8"/>
      <c r="K30" s="8"/>
      <c r="L30" s="8"/>
      <c r="M30" s="8"/>
      <c r="N30" s="8"/>
      <c r="O30" s="8"/>
      <c r="P30" s="8"/>
      <c r="Q30" s="8"/>
      <c r="R30" s="8"/>
    </row>
    <row r="31" spans="1:24" ht="20.25">
      <c r="A31" s="54"/>
      <c r="B31" s="54"/>
      <c r="C31" s="54"/>
      <c r="D31" s="54"/>
      <c r="E31" s="70"/>
      <c r="F31" s="57"/>
      <c r="G31" s="54"/>
      <c r="H31" s="54"/>
      <c r="I31" s="54"/>
      <c r="J31" s="8"/>
      <c r="K31" s="8"/>
      <c r="L31" s="8"/>
      <c r="M31" s="17"/>
      <c r="N31" s="17"/>
      <c r="O31" s="8"/>
      <c r="P31" s="18"/>
      <c r="Q31" s="8"/>
      <c r="R31" s="8"/>
    </row>
    <row r="32" spans="1:24" ht="21" thickBot="1">
      <c r="A32" s="54"/>
      <c r="B32" s="54"/>
      <c r="C32" s="54"/>
      <c r="D32" s="54"/>
      <c r="E32" s="71"/>
      <c r="F32" s="72">
        <f>Total_Finance_Charge+SUM($E$29:$E$32)</f>
        <v>8285.5282499999994</v>
      </c>
      <c r="G32" s="54" t="s">
        <v>103</v>
      </c>
      <c r="H32" s="54"/>
      <c r="I32" s="58">
        <f>'Master data Input'!F42</f>
        <v>0</v>
      </c>
      <c r="J32" s="8"/>
      <c r="K32" s="8"/>
      <c r="L32" s="8"/>
      <c r="M32" s="8"/>
      <c r="N32" s="8"/>
      <c r="O32" s="8"/>
      <c r="P32" s="8"/>
      <c r="Q32" s="8"/>
      <c r="R32" s="8"/>
    </row>
    <row r="33" spans="1:61" ht="21" thickTop="1">
      <c r="A33" s="54"/>
      <c r="B33" s="54"/>
      <c r="C33" s="54"/>
      <c r="D33" s="54"/>
      <c r="E33" s="54"/>
      <c r="F33" s="57"/>
      <c r="G33" s="54"/>
      <c r="H33" s="54"/>
      <c r="I33" s="54"/>
      <c r="J33" s="8"/>
      <c r="K33" s="8"/>
      <c r="L33" s="8"/>
      <c r="M33" s="8"/>
      <c r="N33" s="8"/>
      <c r="O33" s="8"/>
      <c r="P33" s="8"/>
      <c r="Q33" s="8"/>
      <c r="R33" s="8"/>
    </row>
    <row r="34" spans="1:61" ht="21" thickBot="1">
      <c r="A34" s="54" t="s">
        <v>12</v>
      </c>
      <c r="B34" s="54"/>
      <c r="C34" s="54"/>
      <c r="D34" s="54"/>
      <c r="E34" s="54"/>
      <c r="F34" s="72">
        <f>Principal_Amount-Total_Deduction</f>
        <v>72668.181750000003</v>
      </c>
      <c r="G34" s="54"/>
      <c r="H34" s="54"/>
      <c r="I34" s="54"/>
      <c r="J34" s="8"/>
      <c r="K34" s="8"/>
      <c r="L34" s="8"/>
      <c r="M34" s="8" t="s">
        <v>48</v>
      </c>
      <c r="N34" s="8"/>
      <c r="O34" s="8"/>
      <c r="P34" s="8"/>
      <c r="Q34" s="8"/>
      <c r="R34" s="8"/>
      <c r="U34" s="3" t="s">
        <v>43</v>
      </c>
    </row>
    <row r="35" spans="1:61" ht="21" thickTop="1">
      <c r="A35" s="54"/>
      <c r="B35" s="54"/>
      <c r="C35" s="54"/>
      <c r="D35" s="54"/>
      <c r="E35" s="54"/>
      <c r="F35" s="57"/>
      <c r="G35" s="54"/>
      <c r="H35" s="54"/>
      <c r="I35" s="54"/>
      <c r="J35" s="8"/>
      <c r="K35" s="8"/>
      <c r="L35" s="8"/>
      <c r="M35" s="8"/>
      <c r="N35" s="8"/>
      <c r="O35" s="8"/>
      <c r="P35" s="8"/>
      <c r="Q35" s="8"/>
      <c r="R35" s="8"/>
    </row>
    <row r="36" spans="1:61" ht="21" thickBot="1">
      <c r="A36" s="54" t="s">
        <v>59</v>
      </c>
      <c r="B36" s="54"/>
      <c r="C36" s="54"/>
      <c r="D36" s="54"/>
      <c r="E36" s="54"/>
      <c r="F36" s="74">
        <f>IF(Grace_Period_Interest=0,(Grace_Period_Interest+Total_UII)/Amount_of_Loan/(DATEDIF(Date_Released,MaturityDate1,"d")/30),(Grace_Period_Interest+Total_UII)/Amount_of_Loan/Term_masterdatainput)</f>
        <v>3.2374983184834887E-2</v>
      </c>
      <c r="G36" s="54"/>
      <c r="H36" s="54"/>
      <c r="I36" s="54"/>
      <c r="J36" s="19"/>
      <c r="K36" s="8"/>
      <c r="L36" s="8"/>
      <c r="M36" s="8" t="s">
        <v>51</v>
      </c>
      <c r="N36" s="8"/>
      <c r="O36" s="8"/>
      <c r="P36" s="8"/>
      <c r="Q36" s="8"/>
      <c r="R36" s="8"/>
    </row>
    <row r="37" spans="1:61" ht="21.75" thickTop="1" thickBot="1">
      <c r="A37" s="54" t="s">
        <v>13</v>
      </c>
      <c r="B37" s="54"/>
      <c r="C37" s="54"/>
      <c r="D37" s="54"/>
      <c r="E37" s="54"/>
      <c r="F37" s="75">
        <f>Total_Finance_Charge/Principal_Amount</f>
        <v>0.10234896275908786</v>
      </c>
      <c r="G37" s="54" t="s">
        <v>16</v>
      </c>
      <c r="H37" s="54"/>
      <c r="I37" s="76">
        <f>Date_Released</f>
        <v>46083</v>
      </c>
      <c r="J37" s="20"/>
      <c r="K37" s="20"/>
      <c r="L37" s="20"/>
      <c r="M37" s="20"/>
      <c r="N37" s="20"/>
      <c r="O37" s="20"/>
      <c r="P37" s="20"/>
      <c r="Q37" s="20"/>
      <c r="R37" s="20"/>
    </row>
    <row r="38" spans="1:61" ht="21" thickTop="1">
      <c r="A38" s="54"/>
      <c r="B38" s="54"/>
      <c r="C38" s="54"/>
      <c r="D38" s="54"/>
      <c r="E38" s="54"/>
      <c r="F38" s="54"/>
      <c r="G38" s="54" t="s">
        <v>54</v>
      </c>
      <c r="H38" s="54" t="str">
        <f>UPPER(Agents)</f>
        <v/>
      </c>
      <c r="I38" s="54"/>
      <c r="J38" s="8"/>
      <c r="K38" s="8"/>
      <c r="L38" s="8"/>
      <c r="M38" s="8"/>
      <c r="N38" s="8"/>
      <c r="O38" s="8"/>
      <c r="P38" s="8"/>
      <c r="Q38" s="8"/>
      <c r="R38" s="8"/>
      <c r="Y38" s="21"/>
    </row>
    <row r="39" spans="1:61" ht="20.25">
      <c r="A39" s="435" t="s">
        <v>17</v>
      </c>
      <c r="B39" s="435"/>
      <c r="C39" s="435"/>
      <c r="D39" s="435"/>
      <c r="E39" s="435"/>
      <c r="F39" s="435"/>
      <c r="G39" s="435"/>
      <c r="H39" s="435"/>
      <c r="I39" s="435"/>
      <c r="J39" s="14"/>
      <c r="K39" s="14"/>
      <c r="L39" s="14"/>
      <c r="M39" s="14"/>
      <c r="N39" s="14"/>
      <c r="O39" s="14"/>
      <c r="P39" s="14"/>
      <c r="Q39" s="14"/>
      <c r="R39" s="14"/>
    </row>
    <row r="40" spans="1:61" ht="15" customHeight="1">
      <c r="A40" s="54"/>
      <c r="B40" s="54"/>
      <c r="C40" s="54"/>
      <c r="D40" s="54"/>
      <c r="E40" s="54"/>
      <c r="F40" s="54"/>
      <c r="G40" s="54"/>
      <c r="H40" s="54"/>
      <c r="I40" s="54"/>
      <c r="J40" s="8"/>
      <c r="K40" s="8"/>
      <c r="L40" s="8"/>
      <c r="M40" s="8"/>
      <c r="N40" s="17">
        <f>D42+E19</f>
        <v>20967</v>
      </c>
      <c r="O40" s="17">
        <v>11667</v>
      </c>
      <c r="P40" s="8"/>
      <c r="Q40" s="8"/>
      <c r="R40" s="8"/>
    </row>
    <row r="41" spans="1:61" ht="20.25">
      <c r="A41" s="54"/>
      <c r="B41" s="104" t="s">
        <v>18</v>
      </c>
      <c r="C41" s="94"/>
      <c r="D41" s="104" t="s">
        <v>19</v>
      </c>
      <c r="E41" s="94"/>
      <c r="F41" s="421" t="s">
        <v>25</v>
      </c>
      <c r="G41" s="439"/>
      <c r="H41" s="422"/>
      <c r="I41" s="54"/>
      <c r="J41" s="8"/>
      <c r="K41" s="8"/>
      <c r="L41" s="8"/>
      <c r="M41" s="8"/>
      <c r="N41" s="8"/>
      <c r="O41" s="8"/>
      <c r="P41" s="8"/>
      <c r="Q41" s="8"/>
      <c r="R41" s="8"/>
      <c r="Y41" s="22">
        <f>DATE(YEAR(U20),MONTH(U20)+1,DAY(U20))</f>
        <v>31</v>
      </c>
    </row>
    <row r="42" spans="1:61" ht="26.25" customHeight="1">
      <c r="A42" s="54"/>
      <c r="B42" s="406">
        <f>Principal_Amount</f>
        <v>80953.710000000006</v>
      </c>
      <c r="C42" s="407"/>
      <c r="D42" s="406">
        <f>IF(Type_of_Loan="BL-SA","",IF(Type_of_Loan="QCL",(Principal_Amount*Interest*Term_masterdatainput),ROUND(Principal_Amount*(Interest/30)*DATEDIF(Date_released2,MaturityDate1,"d"),0)))</f>
        <v>19753</v>
      </c>
      <c r="E42" s="407"/>
      <c r="F42" s="406">
        <f>IF(Type_of_Loan="BL-SA",Amount_of_Loan,Loan_Amount+Total_UII)</f>
        <v>100706.71</v>
      </c>
      <c r="G42" s="450"/>
      <c r="H42" s="407"/>
      <c r="I42" s="54"/>
      <c r="J42" s="8"/>
      <c r="K42" s="23">
        <f>DATE(YEAR($C$44),MONTH($C$44)+($G$12-1),DAY($C$44))</f>
        <v>46342</v>
      </c>
      <c r="L42" s="8" t="s">
        <v>46</v>
      </c>
      <c r="M42" s="8"/>
      <c r="N42" s="8"/>
      <c r="O42" s="8"/>
      <c r="P42" s="8"/>
      <c r="Q42" s="8"/>
      <c r="R42" s="8"/>
      <c r="S42" s="21"/>
    </row>
    <row r="43" spans="1:61" ht="20.25">
      <c r="A43" s="54"/>
      <c r="B43" s="77" t="s">
        <v>20</v>
      </c>
      <c r="C43" s="77" t="s">
        <v>21</v>
      </c>
      <c r="D43" s="78" t="s">
        <v>22</v>
      </c>
      <c r="E43" s="79" t="s">
        <v>26</v>
      </c>
      <c r="F43" s="80"/>
      <c r="G43" s="81"/>
      <c r="H43" s="81"/>
      <c r="I43" s="82"/>
      <c r="J43" s="24"/>
      <c r="K43" s="24"/>
      <c r="L43" s="24"/>
      <c r="M43" s="24"/>
      <c r="N43" s="24"/>
      <c r="O43" s="24"/>
      <c r="P43" s="24"/>
      <c r="Q43" s="24"/>
      <c r="R43" s="25"/>
      <c r="S43" s="447" t="s">
        <v>23</v>
      </c>
      <c r="T43" s="447"/>
      <c r="U43" s="447" t="s">
        <v>24</v>
      </c>
      <c r="V43" s="447"/>
      <c r="W43" s="26"/>
      <c r="X43" s="26"/>
      <c r="Y43" s="26"/>
      <c r="Z43" s="8"/>
      <c r="AA43" s="8"/>
      <c r="AB43" s="8"/>
      <c r="AC43" s="8"/>
      <c r="AD43" s="8"/>
      <c r="AE43" s="8"/>
      <c r="AW43" s="27"/>
      <c r="AX43" s="27"/>
      <c r="AY43" s="27"/>
      <c r="AZ43" s="27"/>
      <c r="BA43" s="27"/>
      <c r="BB43" s="27"/>
      <c r="BC43" s="27"/>
      <c r="BD43" s="27"/>
      <c r="BE43" s="27"/>
      <c r="BF43" s="28"/>
      <c r="BG43" s="28"/>
      <c r="BH43" s="28"/>
      <c r="BI43" s="28"/>
    </row>
    <row r="44" spans="1:61" ht="20.25">
      <c r="A44" s="54"/>
      <c r="B44" s="83">
        <v>1</v>
      </c>
      <c r="C44" s="105">
        <f>Start_Payment</f>
        <v>46128</v>
      </c>
      <c r="D44" s="84">
        <f>D92-SUM(D45:D91)</f>
        <v>12590.710000000006</v>
      </c>
      <c r="E44" s="54"/>
      <c r="F44" s="54"/>
      <c r="G44" s="54"/>
      <c r="H44" s="57"/>
      <c r="I44" s="85"/>
      <c r="J44" s="15"/>
      <c r="K44" s="15"/>
      <c r="L44" s="15"/>
      <c r="M44" s="15"/>
      <c r="N44" s="15"/>
      <c r="O44" s="15"/>
      <c r="P44" s="15"/>
      <c r="Q44" s="15"/>
      <c r="R44" s="29"/>
      <c r="S44" s="445">
        <f>IF(NOT(B44=AA26),$D$42*(($B$92-(B44-1))/((($B$92+1)/2)*$B$92)),"")</f>
        <v>4389.5555555555557</v>
      </c>
      <c r="T44" s="445"/>
      <c r="U44" s="446">
        <f>IF(NOT(B44=AA27),D44-S44,"")</f>
        <v>8201.1544444444517</v>
      </c>
      <c r="V44" s="446"/>
      <c r="W44" s="26"/>
      <c r="X44" s="31" t="str">
        <f>IF(WEEKDAY(Y44,2)=1,"Monday",IF(WEEKDAY(Y44,2)=2,"Tuesday",IF(WEEKDAY(Y44,2)=3,"Wednesday",IF(WEEKDAY(Y44,2)=4,"Thursday",IF(WEEKDAY(Y44,2)=5,"Friday",IF(WEEKDAY(Y44,2)=6,"Saturday",IF(WEEKDAY(Y44,2)=7,"Sunday")))))))</f>
        <v>Thursday</v>
      </c>
      <c r="Y44" s="32">
        <f>'Master data Input'!C30</f>
        <v>46128</v>
      </c>
      <c r="Z44" s="8"/>
      <c r="AA44" s="8"/>
      <c r="AB44" s="8"/>
      <c r="AC44" s="8"/>
      <c r="AD44" s="8"/>
      <c r="AE44" s="8"/>
      <c r="AW44" s="27"/>
      <c r="AX44" s="27"/>
      <c r="AY44" s="27"/>
      <c r="AZ44" s="27"/>
      <c r="BA44" s="27"/>
      <c r="BB44" s="27"/>
      <c r="BC44" s="27"/>
      <c r="BD44" s="27"/>
      <c r="BE44" s="27"/>
      <c r="BF44" s="28"/>
      <c r="BG44" s="28"/>
      <c r="BH44" s="28"/>
      <c r="BI44" s="28"/>
    </row>
    <row r="45" spans="1:61" ht="20.25">
      <c r="A45" s="54"/>
      <c r="B45" s="86">
        <f>IF(B44&lt;$G$12,B44+1,"")</f>
        <v>2</v>
      </c>
      <c r="C45" s="106">
        <f t="shared" ref="C45:C91" si="0">IF(PERIOD&lt;&gt;"",DATE(YEAR(C44),MONTH(C44),DAY(C44)+15),"")</f>
        <v>46143</v>
      </c>
      <c r="D45" s="87">
        <f t="shared" ref="D45:D91" si="1">IF(PERIOD&lt;&gt;"",ROUNDDOWN($F$42/$B$92,0),"")</f>
        <v>12588</v>
      </c>
      <c r="E45" s="58"/>
      <c r="F45" s="58"/>
      <c r="G45" s="58"/>
      <c r="H45" s="88"/>
      <c r="I45" s="85"/>
      <c r="J45" s="15"/>
      <c r="K45" s="15"/>
      <c r="L45" s="15"/>
      <c r="M45" s="15"/>
      <c r="N45" s="15"/>
      <c r="O45" s="15"/>
      <c r="P45" s="15"/>
      <c r="Q45" s="15"/>
      <c r="R45" s="29"/>
      <c r="S45" s="445">
        <f>IF(NOT(B45=AA27),$D$42*(($B$92-(B45-1))/((($B$92+1)/2)*$B$92)),"")</f>
        <v>3840.8611111111113</v>
      </c>
      <c r="T45" s="445"/>
      <c r="U45" s="446">
        <f>IF(NOT(B45=AA30),D45-S45,"")</f>
        <v>8747.1388888888887</v>
      </c>
      <c r="V45" s="446"/>
      <c r="W45" s="26"/>
      <c r="X45" s="31" t="str">
        <f t="shared" ref="X45:X91" si="2">IF(WEEKDAY(Y45,2)=1,"Monday",IF(WEEKDAY(Y45,2)=2,"Tuesday",IF(WEEKDAY(Y45,2)=3,"Wednesday",IF(WEEKDAY(Y45,2)=4,"Thursday",IF(WEEKDAY(Y45,2)=5,"Friday",IF(WEEKDAY(Y45,2)=6,"Saturday",IF(WEEKDAY(Y45,2)=7,"Sunday")))))))</f>
        <v>Friday</v>
      </c>
      <c r="Y45" s="32">
        <f t="shared" ref="Y45:Y91" si="3">IF(PERIOD&lt;&gt;"",IF(DATE(YEAR(Y44),MONTH(Y44),DAY(Y44))&lt;=$K$42,DATE(YEAR(Y44),MONTH(Y44),DAY(Y44)+15),""),"")</f>
        <v>46143</v>
      </c>
      <c r="Z45" s="8"/>
      <c r="AA45" s="8"/>
      <c r="AB45" s="8"/>
      <c r="AC45" s="8"/>
      <c r="AD45" s="8"/>
      <c r="AE45" s="8"/>
      <c r="AW45" s="27"/>
      <c r="AX45" s="27"/>
      <c r="AY45" s="27"/>
      <c r="AZ45" s="27"/>
      <c r="BA45" s="27"/>
      <c r="BB45" s="27"/>
      <c r="BC45" s="27"/>
      <c r="BD45" s="27"/>
      <c r="BE45" s="27"/>
      <c r="BF45" s="28"/>
      <c r="BG45" s="28"/>
      <c r="BH45" s="28"/>
      <c r="BI45" s="28"/>
    </row>
    <row r="46" spans="1:61" ht="20.25">
      <c r="A46" s="54"/>
      <c r="B46" s="86">
        <f t="shared" ref="B46:B91" si="4">IF(B45&lt;$G$12,B45+1,"")</f>
        <v>3</v>
      </c>
      <c r="C46" s="106">
        <f t="shared" si="0"/>
        <v>46158</v>
      </c>
      <c r="D46" s="87">
        <f t="shared" si="1"/>
        <v>12588</v>
      </c>
      <c r="E46" s="80" t="s">
        <v>53</v>
      </c>
      <c r="F46" s="80"/>
      <c r="G46" s="81"/>
      <c r="H46" s="89"/>
      <c r="I46" s="85"/>
      <c r="J46" s="15"/>
      <c r="K46" s="15"/>
      <c r="L46" s="15"/>
      <c r="M46" s="15"/>
      <c r="N46" s="15"/>
      <c r="O46" s="15"/>
      <c r="P46" s="15"/>
      <c r="Q46" s="15"/>
      <c r="R46" s="29"/>
      <c r="S46" s="445">
        <f>IF(NOT(B46=AA30),$D$42*(($B$92-(B46-1))/((($B$92+1)/2)*$B$92)),"")</f>
        <v>3292.1666666666665</v>
      </c>
      <c r="T46" s="445"/>
      <c r="U46" s="446">
        <f t="shared" ref="U46:U53" si="5">IF(NOT(B46=AA32),D46-S46,"")</f>
        <v>9295.8333333333339</v>
      </c>
      <c r="V46" s="446"/>
      <c r="W46" s="26"/>
      <c r="X46" s="31" t="str">
        <f t="shared" si="2"/>
        <v>Saturday</v>
      </c>
      <c r="Y46" s="32">
        <f t="shared" si="3"/>
        <v>46158</v>
      </c>
      <c r="Z46" s="8"/>
      <c r="AA46" s="8"/>
      <c r="AB46" s="8"/>
      <c r="AC46" s="8"/>
      <c r="AD46" s="8"/>
      <c r="AE46" s="8"/>
      <c r="AW46" s="27"/>
      <c r="AX46" s="27"/>
      <c r="AY46" s="27"/>
      <c r="AZ46" s="27"/>
      <c r="BA46" s="27"/>
      <c r="BB46" s="27"/>
      <c r="BC46" s="27"/>
      <c r="BD46" s="27"/>
      <c r="BE46" s="27"/>
      <c r="BF46" s="28"/>
      <c r="BG46" s="28"/>
      <c r="BH46" s="28"/>
      <c r="BI46" s="28"/>
    </row>
    <row r="47" spans="1:61" ht="20.25">
      <c r="A47" s="54"/>
      <c r="B47" s="86">
        <f t="shared" si="4"/>
        <v>4</v>
      </c>
      <c r="C47" s="106">
        <f t="shared" si="0"/>
        <v>46173</v>
      </c>
      <c r="D47" s="87">
        <f t="shared" si="1"/>
        <v>12588</v>
      </c>
      <c r="E47" s="90"/>
      <c r="F47" s="90"/>
      <c r="G47" s="70"/>
      <c r="H47" s="91"/>
      <c r="I47" s="85"/>
      <c r="J47" s="15"/>
      <c r="K47" s="15"/>
      <c r="L47" s="15"/>
      <c r="M47" s="15"/>
      <c r="N47" s="15"/>
      <c r="O47" s="15"/>
      <c r="P47" s="15"/>
      <c r="Q47" s="15"/>
      <c r="R47" s="29"/>
      <c r="S47" s="445">
        <f t="shared" ref="S47:S67" si="6">IF(NOT(B47=AA32),$D$42*(($B$92-(B47-1))/((($B$92+1)/2)*$B$92)),"")</f>
        <v>2743.4722222222222</v>
      </c>
      <c r="T47" s="445"/>
      <c r="U47" s="446">
        <f t="shared" si="5"/>
        <v>9844.5277777777774</v>
      </c>
      <c r="V47" s="446"/>
      <c r="W47" s="26"/>
      <c r="X47" s="31" t="str">
        <f t="shared" si="2"/>
        <v>Sunday</v>
      </c>
      <c r="Y47" s="32">
        <f t="shared" si="3"/>
        <v>46173</v>
      </c>
      <c r="Z47" s="8"/>
      <c r="AA47" s="8"/>
      <c r="AB47" s="8"/>
      <c r="AC47" s="8"/>
      <c r="AD47" s="8"/>
      <c r="AE47" s="8"/>
      <c r="AW47" s="27"/>
      <c r="AX47" s="27"/>
      <c r="AY47" s="27"/>
      <c r="AZ47" s="27"/>
      <c r="BA47" s="27"/>
      <c r="BB47" s="27"/>
      <c r="BC47" s="27"/>
      <c r="BD47" s="27"/>
      <c r="BE47" s="27"/>
      <c r="BF47" s="28"/>
      <c r="BG47" s="28"/>
      <c r="BH47" s="28"/>
      <c r="BI47" s="28"/>
    </row>
    <row r="48" spans="1:61" ht="20.25">
      <c r="A48" s="54"/>
      <c r="B48" s="86">
        <f t="shared" si="4"/>
        <v>5</v>
      </c>
      <c r="C48" s="106">
        <f t="shared" si="0"/>
        <v>46188</v>
      </c>
      <c r="D48" s="87">
        <f t="shared" si="1"/>
        <v>12588</v>
      </c>
      <c r="E48" s="58"/>
      <c r="F48" s="58"/>
      <c r="G48" s="58"/>
      <c r="H48" s="88"/>
      <c r="I48" s="85"/>
      <c r="J48" s="15"/>
      <c r="K48" s="15"/>
      <c r="L48" s="15"/>
      <c r="M48" s="15"/>
      <c r="N48" s="15"/>
      <c r="O48" s="15"/>
      <c r="P48" s="15"/>
      <c r="Q48" s="15"/>
      <c r="R48" s="29"/>
      <c r="S48" s="445">
        <f t="shared" si="6"/>
        <v>2194.7777777777778</v>
      </c>
      <c r="T48" s="445"/>
      <c r="U48" s="446">
        <f t="shared" si="5"/>
        <v>10393.222222222223</v>
      </c>
      <c r="V48" s="446"/>
      <c r="W48" s="26"/>
      <c r="X48" s="31" t="str">
        <f t="shared" si="2"/>
        <v>Monday</v>
      </c>
      <c r="Y48" s="32">
        <f t="shared" si="3"/>
        <v>46188</v>
      </c>
      <c r="Z48" s="8"/>
      <c r="AA48" s="8"/>
      <c r="AB48" s="8"/>
      <c r="AC48" s="8"/>
      <c r="AD48" s="8"/>
      <c r="AE48" s="8"/>
      <c r="AW48" s="27"/>
      <c r="AX48" s="27"/>
      <c r="AY48" s="27"/>
      <c r="AZ48" s="27"/>
      <c r="BA48" s="27"/>
      <c r="BB48" s="27"/>
      <c r="BC48" s="27"/>
      <c r="BD48" s="27"/>
      <c r="BE48" s="27"/>
      <c r="BF48" s="28"/>
      <c r="BG48" s="28"/>
      <c r="BH48" s="28"/>
      <c r="BI48" s="28"/>
    </row>
    <row r="49" spans="1:61" ht="20.25">
      <c r="A49" s="54"/>
      <c r="B49" s="86">
        <f t="shared" si="4"/>
        <v>6</v>
      </c>
      <c r="C49" s="106">
        <f t="shared" si="0"/>
        <v>46203</v>
      </c>
      <c r="D49" s="87">
        <f t="shared" si="1"/>
        <v>12588</v>
      </c>
      <c r="E49" s="80" t="s">
        <v>29</v>
      </c>
      <c r="F49" s="80"/>
      <c r="G49" s="81"/>
      <c r="H49" s="89"/>
      <c r="I49" s="85"/>
      <c r="J49" s="15"/>
      <c r="K49" s="15"/>
      <c r="L49" s="15"/>
      <c r="M49" s="15"/>
      <c r="N49" s="15"/>
      <c r="O49" s="15"/>
      <c r="P49" s="15"/>
      <c r="Q49" s="15"/>
      <c r="R49" s="29"/>
      <c r="S49" s="445">
        <f t="shared" si="6"/>
        <v>1646.0833333333333</v>
      </c>
      <c r="T49" s="445"/>
      <c r="U49" s="446">
        <f t="shared" si="5"/>
        <v>10941.916666666666</v>
      </c>
      <c r="V49" s="446"/>
      <c r="W49" s="26"/>
      <c r="X49" s="31" t="str">
        <f t="shared" si="2"/>
        <v>Tuesday</v>
      </c>
      <c r="Y49" s="32">
        <f t="shared" si="3"/>
        <v>46203</v>
      </c>
      <c r="Z49" s="8"/>
      <c r="AA49" s="8"/>
      <c r="AB49" s="8"/>
      <c r="AC49" s="8"/>
      <c r="AD49" s="8"/>
      <c r="AE49" s="8"/>
      <c r="AW49" s="27"/>
      <c r="AX49" s="27"/>
      <c r="AY49" s="27"/>
      <c r="AZ49" s="27"/>
      <c r="BA49" s="27"/>
      <c r="BB49" s="27"/>
      <c r="BC49" s="27"/>
      <c r="BD49" s="27"/>
      <c r="BE49" s="27"/>
      <c r="BF49" s="28"/>
      <c r="BG49" s="28"/>
      <c r="BH49" s="28"/>
      <c r="BI49" s="28"/>
    </row>
    <row r="50" spans="1:61" ht="20.25">
      <c r="A50" s="54"/>
      <c r="B50" s="86">
        <f t="shared" si="4"/>
        <v>7</v>
      </c>
      <c r="C50" s="106">
        <f t="shared" si="0"/>
        <v>46218</v>
      </c>
      <c r="D50" s="87">
        <f t="shared" si="1"/>
        <v>12588</v>
      </c>
      <c r="E50" s="54"/>
      <c r="F50" s="54"/>
      <c r="G50" s="85"/>
      <c r="H50" s="57"/>
      <c r="I50" s="85"/>
      <c r="J50" s="15"/>
      <c r="K50" s="15"/>
      <c r="L50" s="15"/>
      <c r="M50" s="15"/>
      <c r="N50" s="15"/>
      <c r="O50" s="15"/>
      <c r="P50" s="15"/>
      <c r="Q50" s="15"/>
      <c r="R50" s="29"/>
      <c r="S50" s="445">
        <f t="shared" si="6"/>
        <v>1097.3888888888889</v>
      </c>
      <c r="T50" s="445"/>
      <c r="U50" s="446">
        <f t="shared" si="5"/>
        <v>11490.611111111111</v>
      </c>
      <c r="V50" s="446"/>
      <c r="W50" s="26"/>
      <c r="X50" s="31" t="str">
        <f t="shared" si="2"/>
        <v>Wednesday</v>
      </c>
      <c r="Y50" s="32">
        <f t="shared" si="3"/>
        <v>46218</v>
      </c>
      <c r="Z50" s="8"/>
      <c r="AA50" s="8"/>
      <c r="AB50" s="8"/>
      <c r="AC50" s="8"/>
      <c r="AD50" s="8"/>
      <c r="AE50" s="8"/>
      <c r="AW50" s="27"/>
      <c r="AX50" s="27"/>
      <c r="AY50" s="27"/>
      <c r="AZ50" s="27"/>
      <c r="BA50" s="27"/>
      <c r="BB50" s="27"/>
      <c r="BC50" s="27"/>
      <c r="BD50" s="27"/>
      <c r="BE50" s="27"/>
      <c r="BF50" s="28"/>
      <c r="BG50" s="28"/>
      <c r="BH50" s="28"/>
      <c r="BI50" s="28"/>
    </row>
    <row r="51" spans="1:61" ht="20.25">
      <c r="A51" s="54"/>
      <c r="B51" s="86">
        <f t="shared" si="4"/>
        <v>8</v>
      </c>
      <c r="C51" s="106">
        <f t="shared" si="0"/>
        <v>46233</v>
      </c>
      <c r="D51" s="87">
        <f t="shared" si="1"/>
        <v>12588</v>
      </c>
      <c r="E51" s="58"/>
      <c r="F51" s="58"/>
      <c r="G51" s="92"/>
      <c r="H51" s="88"/>
      <c r="I51" s="85"/>
      <c r="J51" s="15"/>
      <c r="K51" s="15"/>
      <c r="L51" s="15"/>
      <c r="M51" s="15"/>
      <c r="N51" s="15"/>
      <c r="O51" s="15"/>
      <c r="P51" s="15"/>
      <c r="Q51" s="15"/>
      <c r="R51" s="29"/>
      <c r="S51" s="445">
        <f t="shared" si="6"/>
        <v>548.69444444444446</v>
      </c>
      <c r="T51" s="445"/>
      <c r="U51" s="446">
        <f t="shared" si="5"/>
        <v>12039.305555555555</v>
      </c>
      <c r="V51" s="446"/>
      <c r="W51" s="26"/>
      <c r="X51" s="31" t="str">
        <f t="shared" si="2"/>
        <v>Thursday</v>
      </c>
      <c r="Y51" s="32">
        <f t="shared" si="3"/>
        <v>46233</v>
      </c>
      <c r="Z51" s="8"/>
      <c r="AA51" s="8"/>
      <c r="AB51" s="8"/>
      <c r="AC51" s="8"/>
      <c r="AD51" s="8"/>
      <c r="AE51" s="8"/>
      <c r="AW51" s="27"/>
      <c r="AX51" s="27"/>
      <c r="AY51" s="27"/>
      <c r="AZ51" s="27"/>
      <c r="BA51" s="27"/>
      <c r="BB51" s="27"/>
      <c r="BC51" s="27"/>
      <c r="BD51" s="27"/>
      <c r="BE51" s="27"/>
      <c r="BF51" s="28"/>
      <c r="BG51" s="28"/>
      <c r="BH51" s="28"/>
      <c r="BI51" s="28"/>
    </row>
    <row r="52" spans="1:61" ht="20.25">
      <c r="A52" s="54"/>
      <c r="B52" s="86" t="str">
        <f t="shared" si="4"/>
        <v/>
      </c>
      <c r="C52" s="106" t="str">
        <f t="shared" si="0"/>
        <v/>
      </c>
      <c r="D52" s="87" t="str">
        <f t="shared" si="1"/>
        <v/>
      </c>
      <c r="E52" s="54" t="s">
        <v>27</v>
      </c>
      <c r="F52" s="54"/>
      <c r="G52" s="93"/>
      <c r="H52" s="94"/>
      <c r="I52" s="85"/>
      <c r="J52" s="15"/>
      <c r="K52" s="15"/>
      <c r="L52" s="15"/>
      <c r="M52" s="15"/>
      <c r="N52" s="15"/>
      <c r="O52" s="15"/>
      <c r="P52" s="15"/>
      <c r="Q52" s="15"/>
      <c r="R52" s="29"/>
      <c r="S52" s="445" t="str">
        <f t="shared" si="6"/>
        <v/>
      </c>
      <c r="T52" s="445"/>
      <c r="U52" s="446" t="str">
        <f t="shared" si="5"/>
        <v/>
      </c>
      <c r="V52" s="446"/>
      <c r="W52" s="26"/>
      <c r="X52" s="31" t="e">
        <f t="shared" si="2"/>
        <v>#VALUE!</v>
      </c>
      <c r="Y52" s="32" t="str">
        <f t="shared" si="3"/>
        <v/>
      </c>
      <c r="Z52" s="8"/>
      <c r="AA52" s="8"/>
      <c r="AB52" s="8"/>
      <c r="AC52" s="8"/>
      <c r="AD52" s="8"/>
      <c r="AE52" s="8"/>
      <c r="AH52" s="33"/>
      <c r="AW52" s="27"/>
      <c r="AX52" s="27"/>
      <c r="AY52" s="27"/>
      <c r="AZ52" s="27"/>
      <c r="BA52" s="27"/>
      <c r="BB52" s="27"/>
      <c r="BC52" s="27"/>
      <c r="BD52" s="27"/>
      <c r="BE52" s="27"/>
      <c r="BF52" s="28"/>
      <c r="BG52" s="28"/>
      <c r="BH52" s="28"/>
      <c r="BI52" s="28"/>
    </row>
    <row r="53" spans="1:61" ht="20.25">
      <c r="A53" s="54"/>
      <c r="B53" s="86" t="str">
        <f t="shared" si="4"/>
        <v/>
      </c>
      <c r="C53" s="106" t="str">
        <f t="shared" si="0"/>
        <v/>
      </c>
      <c r="D53" s="87" t="str">
        <f t="shared" si="1"/>
        <v/>
      </c>
      <c r="E53" s="54"/>
      <c r="F53" s="54"/>
      <c r="G53" s="60"/>
      <c r="H53" s="57"/>
      <c r="I53" s="85"/>
      <c r="J53" s="15"/>
      <c r="K53" s="15"/>
      <c r="L53" s="15"/>
      <c r="M53" s="15"/>
      <c r="N53" s="15"/>
      <c r="O53" s="15"/>
      <c r="P53" s="15"/>
      <c r="Q53" s="15"/>
      <c r="R53" s="29"/>
      <c r="S53" s="445" t="str">
        <f t="shared" si="6"/>
        <v/>
      </c>
      <c r="T53" s="445"/>
      <c r="U53" s="446" t="str">
        <f t="shared" si="5"/>
        <v/>
      </c>
      <c r="V53" s="446"/>
      <c r="W53" s="26"/>
      <c r="X53" s="31" t="e">
        <f t="shared" si="2"/>
        <v>#VALUE!</v>
      </c>
      <c r="Y53" s="32" t="str">
        <f t="shared" si="3"/>
        <v/>
      </c>
      <c r="Z53" s="8"/>
      <c r="AA53" s="8"/>
      <c r="AB53" s="8"/>
      <c r="AC53" s="8"/>
      <c r="AD53" s="8"/>
      <c r="AE53" s="8"/>
      <c r="AW53" s="27"/>
      <c r="AX53" s="27"/>
      <c r="AY53" s="27"/>
      <c r="AZ53" s="27"/>
      <c r="BA53" s="27"/>
      <c r="BB53" s="27"/>
      <c r="BC53" s="27"/>
      <c r="BD53" s="27"/>
      <c r="BE53" s="27"/>
      <c r="BF53" s="28"/>
      <c r="BG53" s="28"/>
      <c r="BH53" s="28"/>
      <c r="BI53" s="28"/>
    </row>
    <row r="54" spans="1:61" ht="20.25">
      <c r="A54" s="54"/>
      <c r="B54" s="86" t="str">
        <f t="shared" si="4"/>
        <v/>
      </c>
      <c r="C54" s="106" t="str">
        <f t="shared" si="0"/>
        <v/>
      </c>
      <c r="D54" s="87" t="str">
        <f t="shared" si="1"/>
        <v/>
      </c>
      <c r="E54" s="58"/>
      <c r="F54" s="58"/>
      <c r="G54" s="92"/>
      <c r="H54" s="88"/>
      <c r="I54" s="85"/>
      <c r="J54" s="15"/>
      <c r="K54" s="15"/>
      <c r="L54" s="15"/>
      <c r="M54" s="15"/>
      <c r="N54" s="15"/>
      <c r="O54" s="15"/>
      <c r="P54" s="15"/>
      <c r="Q54" s="15"/>
      <c r="R54" s="29"/>
      <c r="S54" s="445" t="str">
        <f t="shared" si="6"/>
        <v/>
      </c>
      <c r="T54" s="445"/>
      <c r="U54" s="446" t="str">
        <f>IF(NOT(B54=AA40),D54-T54,"")</f>
        <v/>
      </c>
      <c r="V54" s="446"/>
      <c r="W54" s="26"/>
      <c r="X54" s="31" t="e">
        <f t="shared" si="2"/>
        <v>#VALUE!</v>
      </c>
      <c r="Y54" s="32" t="str">
        <f t="shared" si="3"/>
        <v/>
      </c>
      <c r="Z54" s="8"/>
      <c r="AA54" s="8"/>
      <c r="AB54" s="8"/>
      <c r="AC54" s="8"/>
      <c r="AD54" s="8"/>
      <c r="AE54" s="8"/>
      <c r="AW54" s="27"/>
      <c r="AX54" s="27"/>
      <c r="AY54" s="27"/>
      <c r="AZ54" s="27"/>
      <c r="BA54" s="27"/>
      <c r="BB54" s="27"/>
      <c r="BC54" s="27"/>
      <c r="BD54" s="27"/>
      <c r="BE54" s="27"/>
      <c r="BF54" s="28"/>
      <c r="BG54" s="28"/>
      <c r="BH54" s="28"/>
      <c r="BI54" s="28"/>
    </row>
    <row r="55" spans="1:61" ht="20.25">
      <c r="A55" s="54"/>
      <c r="B55" s="86" t="str">
        <f t="shared" si="4"/>
        <v/>
      </c>
      <c r="C55" s="106" t="str">
        <f t="shared" si="0"/>
        <v/>
      </c>
      <c r="D55" s="87" t="str">
        <f t="shared" si="1"/>
        <v/>
      </c>
      <c r="E55" s="58" t="s">
        <v>28</v>
      </c>
      <c r="F55" s="58"/>
      <c r="G55" s="448">
        <f>Date_Released</f>
        <v>46083</v>
      </c>
      <c r="H55" s="449"/>
      <c r="I55" s="85"/>
      <c r="J55" s="15"/>
      <c r="K55" s="15"/>
      <c r="L55" s="15"/>
      <c r="M55" s="15"/>
      <c r="N55" s="15"/>
      <c r="O55" s="15"/>
      <c r="P55" s="15"/>
      <c r="Q55" s="15"/>
      <c r="R55" s="29"/>
      <c r="S55" s="445" t="str">
        <f t="shared" si="6"/>
        <v/>
      </c>
      <c r="T55" s="445"/>
      <c r="U55" s="446" t="str">
        <f>IF(NOT(B55=AA41),D55-T55,"")</f>
        <v/>
      </c>
      <c r="V55" s="446"/>
      <c r="W55" s="26"/>
      <c r="X55" s="31" t="e">
        <f t="shared" si="2"/>
        <v>#VALUE!</v>
      </c>
      <c r="Y55" s="32" t="str">
        <f t="shared" si="3"/>
        <v/>
      </c>
      <c r="Z55" s="8"/>
      <c r="AA55" s="8"/>
      <c r="AB55" s="8"/>
      <c r="AC55" s="8"/>
      <c r="AD55" s="8"/>
      <c r="AE55" s="8"/>
      <c r="AW55" s="27"/>
      <c r="AX55" s="27"/>
      <c r="AY55" s="27"/>
      <c r="AZ55" s="27"/>
      <c r="BA55" s="27"/>
      <c r="BB55" s="27"/>
      <c r="BC55" s="27"/>
      <c r="BD55" s="27"/>
      <c r="BE55" s="27"/>
      <c r="BF55" s="28"/>
      <c r="BG55" s="28"/>
      <c r="BH55" s="28"/>
      <c r="BI55" s="28"/>
    </row>
    <row r="56" spans="1:61" ht="20.25">
      <c r="A56" s="54"/>
      <c r="B56" s="86" t="str">
        <f t="shared" si="4"/>
        <v/>
      </c>
      <c r="C56" s="106" t="str">
        <f t="shared" si="0"/>
        <v/>
      </c>
      <c r="D56" s="87" t="str">
        <f t="shared" si="1"/>
        <v/>
      </c>
      <c r="E56" s="79" t="s">
        <v>55</v>
      </c>
      <c r="F56" s="93"/>
      <c r="G56" s="80"/>
      <c r="H56" s="95"/>
      <c r="I56" s="85"/>
      <c r="J56" s="15"/>
      <c r="K56" s="15"/>
      <c r="L56" s="15"/>
      <c r="M56" s="15"/>
      <c r="N56" s="15"/>
      <c r="O56" s="15"/>
      <c r="P56" s="15"/>
      <c r="Q56" s="15"/>
      <c r="R56" s="30"/>
      <c r="S56" s="445" t="str">
        <f t="shared" si="6"/>
        <v/>
      </c>
      <c r="T56" s="445"/>
      <c r="U56" s="446" t="str">
        <f>IF(NOT(B56=AA42),D56-T56,"")</f>
        <v/>
      </c>
      <c r="V56" s="446"/>
      <c r="W56" s="31"/>
      <c r="X56" s="31" t="e">
        <f t="shared" si="2"/>
        <v>#VALUE!</v>
      </c>
      <c r="Y56" s="32" t="str">
        <f t="shared" si="3"/>
        <v/>
      </c>
      <c r="Z56" s="8"/>
      <c r="AA56" s="8"/>
      <c r="AB56" s="8"/>
      <c r="AC56" s="8"/>
      <c r="AD56" s="8"/>
      <c r="AW56" s="27"/>
      <c r="AX56" s="27"/>
      <c r="AY56" s="27"/>
      <c r="AZ56" s="27"/>
      <c r="BA56" s="27"/>
      <c r="BB56" s="27"/>
      <c r="BC56" s="27"/>
      <c r="BD56" s="27"/>
      <c r="BE56" s="27"/>
      <c r="BF56" s="28"/>
      <c r="BG56" s="28"/>
      <c r="BH56" s="28"/>
    </row>
    <row r="57" spans="1:61" ht="20.25">
      <c r="A57" s="54"/>
      <c r="B57" s="86" t="str">
        <f t="shared" si="4"/>
        <v/>
      </c>
      <c r="C57" s="106" t="str">
        <f t="shared" si="0"/>
        <v/>
      </c>
      <c r="D57" s="87" t="str">
        <f t="shared" si="1"/>
        <v/>
      </c>
      <c r="E57" s="96"/>
      <c r="F57" s="85"/>
      <c r="G57" s="85"/>
      <c r="H57" s="56"/>
      <c r="I57" s="85"/>
      <c r="J57" s="15"/>
      <c r="K57" s="15"/>
      <c r="L57" s="15"/>
      <c r="M57" s="15"/>
      <c r="N57" s="15"/>
      <c r="O57" s="15"/>
      <c r="P57" s="15"/>
      <c r="Q57" s="15"/>
      <c r="R57" s="30"/>
      <c r="S57" s="445" t="str">
        <f t="shared" si="6"/>
        <v/>
      </c>
      <c r="T57" s="445"/>
      <c r="U57" s="446" t="str">
        <f>IF(NOT(B57=AA43),D57-T57,"")</f>
        <v/>
      </c>
      <c r="V57" s="446"/>
      <c r="W57" s="31"/>
      <c r="X57" s="31" t="e">
        <f t="shared" si="2"/>
        <v>#VALUE!</v>
      </c>
      <c r="Y57" s="32" t="str">
        <f t="shared" si="3"/>
        <v/>
      </c>
      <c r="Z57" s="8"/>
      <c r="AA57" s="8"/>
      <c r="AB57" s="8"/>
      <c r="AC57" s="8"/>
      <c r="AD57" s="8"/>
      <c r="AW57" s="27"/>
      <c r="AX57" s="27"/>
      <c r="AY57" s="27"/>
      <c r="AZ57" s="27"/>
      <c r="BA57" s="27"/>
      <c r="BB57" s="27"/>
      <c r="BC57" s="27"/>
      <c r="BD57" s="27"/>
      <c r="BE57" s="27"/>
      <c r="BF57" s="28"/>
      <c r="BG57" s="28"/>
      <c r="BH57" s="28"/>
    </row>
    <row r="58" spans="1:61" ht="20.25">
      <c r="A58" s="54"/>
      <c r="B58" s="86" t="str">
        <f t="shared" si="4"/>
        <v/>
      </c>
      <c r="C58" s="106" t="str">
        <f t="shared" si="0"/>
        <v/>
      </c>
      <c r="D58" s="87" t="str">
        <f t="shared" si="1"/>
        <v/>
      </c>
      <c r="E58" s="97" t="str">
        <f>IF(Advanced_Payment=0,"","With Advance Payment of P "&amp; Advanced_Payment)</f>
        <v/>
      </c>
      <c r="F58" s="85"/>
      <c r="G58" s="85"/>
      <c r="H58" s="56"/>
      <c r="I58" s="85"/>
      <c r="J58" s="15"/>
      <c r="K58" s="15"/>
      <c r="L58" s="15"/>
      <c r="M58" s="15"/>
      <c r="N58" s="15"/>
      <c r="O58" s="15"/>
      <c r="P58" s="15"/>
      <c r="Q58" s="15"/>
      <c r="R58" s="30"/>
      <c r="S58" s="445" t="str">
        <f t="shared" si="6"/>
        <v/>
      </c>
      <c r="T58" s="445"/>
      <c r="U58" s="446" t="str">
        <f>IF(NOT(B58=AA44),D58-T58,"")</f>
        <v/>
      </c>
      <c r="V58" s="446"/>
      <c r="W58" s="31"/>
      <c r="X58" s="31" t="e">
        <f t="shared" si="2"/>
        <v>#VALUE!</v>
      </c>
      <c r="Y58" s="32" t="str">
        <f t="shared" si="3"/>
        <v/>
      </c>
      <c r="Z58" s="8"/>
      <c r="AA58" s="8"/>
      <c r="AB58" s="8"/>
      <c r="AC58" s="8"/>
      <c r="AD58" s="8"/>
      <c r="AW58" s="27"/>
      <c r="AX58" s="27"/>
      <c r="AY58" s="27"/>
      <c r="AZ58" s="27"/>
      <c r="BA58" s="27"/>
      <c r="BB58" s="27"/>
      <c r="BC58" s="27"/>
      <c r="BD58" s="27"/>
      <c r="BE58" s="27"/>
      <c r="BF58" s="28"/>
      <c r="BG58" s="28"/>
      <c r="BH58" s="28"/>
    </row>
    <row r="59" spans="1:61" ht="20.25">
      <c r="A59" s="54"/>
      <c r="B59" s="86" t="str">
        <f t="shared" si="4"/>
        <v/>
      </c>
      <c r="C59" s="106" t="str">
        <f t="shared" si="0"/>
        <v/>
      </c>
      <c r="D59" s="87" t="str">
        <f t="shared" si="1"/>
        <v/>
      </c>
      <c r="E59" s="96"/>
      <c r="F59" s="85"/>
      <c r="G59" s="85"/>
      <c r="H59" s="56"/>
      <c r="I59" s="85"/>
      <c r="J59" s="15"/>
      <c r="K59" s="15"/>
      <c r="L59" s="15"/>
      <c r="M59" s="15"/>
      <c r="N59" s="15"/>
      <c r="O59" s="15"/>
      <c r="P59" s="15"/>
      <c r="Q59" s="15"/>
      <c r="R59" s="30"/>
      <c r="S59" s="445" t="str">
        <f t="shared" si="6"/>
        <v/>
      </c>
      <c r="T59" s="445"/>
      <c r="U59" s="446" t="str">
        <f t="shared" ref="U59:U67" si="7">IF(NOT(B59=AA45),D59-T59,"")</f>
        <v/>
      </c>
      <c r="V59" s="446"/>
      <c r="W59" s="31"/>
      <c r="X59" s="31" t="e">
        <f t="shared" si="2"/>
        <v>#VALUE!</v>
      </c>
      <c r="Y59" s="32" t="str">
        <f t="shared" si="3"/>
        <v/>
      </c>
      <c r="Z59" s="8"/>
      <c r="AA59" s="8"/>
      <c r="AB59" s="8"/>
      <c r="AC59" s="8"/>
      <c r="AD59" s="8"/>
      <c r="AW59" s="27"/>
      <c r="AX59" s="27"/>
      <c r="AY59" s="27"/>
      <c r="AZ59" s="27"/>
      <c r="BA59" s="27"/>
      <c r="BB59" s="27"/>
      <c r="BC59" s="27"/>
      <c r="BD59" s="27"/>
      <c r="BE59" s="27"/>
      <c r="BF59" s="28"/>
      <c r="BG59" s="28"/>
      <c r="BH59" s="28"/>
    </row>
    <row r="60" spans="1:61" ht="20.25">
      <c r="A60" s="54"/>
      <c r="B60" s="86" t="str">
        <f t="shared" si="4"/>
        <v/>
      </c>
      <c r="C60" s="106" t="str">
        <f t="shared" si="0"/>
        <v/>
      </c>
      <c r="D60" s="87" t="str">
        <f t="shared" si="1"/>
        <v/>
      </c>
      <c r="E60" s="96"/>
      <c r="F60" s="85"/>
      <c r="G60" s="85"/>
      <c r="H60" s="56"/>
      <c r="I60" s="85"/>
      <c r="J60" s="15"/>
      <c r="K60" s="15"/>
      <c r="L60" s="15"/>
      <c r="M60" s="15"/>
      <c r="N60" s="15"/>
      <c r="O60" s="15"/>
      <c r="P60" s="15"/>
      <c r="Q60" s="15"/>
      <c r="R60" s="30"/>
      <c r="S60" s="445" t="str">
        <f t="shared" si="6"/>
        <v/>
      </c>
      <c r="T60" s="445"/>
      <c r="U60" s="446" t="str">
        <f t="shared" si="7"/>
        <v/>
      </c>
      <c r="V60" s="446"/>
      <c r="W60" s="31"/>
      <c r="X60" s="31" t="e">
        <f t="shared" si="2"/>
        <v>#VALUE!</v>
      </c>
      <c r="Y60" s="32" t="str">
        <f t="shared" si="3"/>
        <v/>
      </c>
      <c r="Z60" s="8"/>
      <c r="AA60" s="8"/>
      <c r="AB60" s="8"/>
      <c r="AC60" s="8"/>
      <c r="AD60" s="8"/>
      <c r="AW60" s="27"/>
      <c r="AX60" s="27"/>
      <c r="AY60" s="27"/>
      <c r="AZ60" s="27"/>
      <c r="BA60" s="27"/>
      <c r="BB60" s="27"/>
      <c r="BC60" s="27"/>
      <c r="BD60" s="27"/>
      <c r="BE60" s="27"/>
      <c r="BF60" s="28"/>
      <c r="BG60" s="28"/>
      <c r="BH60" s="28"/>
    </row>
    <row r="61" spans="1:61" ht="20.25">
      <c r="A61" s="54"/>
      <c r="B61" s="86" t="str">
        <f t="shared" si="4"/>
        <v/>
      </c>
      <c r="C61" s="106" t="str">
        <f t="shared" si="0"/>
        <v/>
      </c>
      <c r="D61" s="87" t="str">
        <f t="shared" si="1"/>
        <v/>
      </c>
      <c r="E61" s="96"/>
      <c r="F61" s="85"/>
      <c r="G61" s="85"/>
      <c r="H61" s="56"/>
      <c r="I61" s="85"/>
      <c r="J61" s="15"/>
      <c r="K61" s="15"/>
      <c r="L61" s="15"/>
      <c r="M61" s="15"/>
      <c r="N61" s="15"/>
      <c r="O61" s="15"/>
      <c r="P61" s="15"/>
      <c r="Q61" s="15"/>
      <c r="R61" s="30"/>
      <c r="S61" s="445" t="str">
        <f t="shared" si="6"/>
        <v/>
      </c>
      <c r="T61" s="445"/>
      <c r="U61" s="446" t="str">
        <f t="shared" si="7"/>
        <v/>
      </c>
      <c r="V61" s="446"/>
      <c r="W61" s="31"/>
      <c r="X61" s="31" t="e">
        <f t="shared" si="2"/>
        <v>#VALUE!</v>
      </c>
      <c r="Y61" s="32" t="str">
        <f t="shared" si="3"/>
        <v/>
      </c>
      <c r="Z61" s="8"/>
      <c r="AA61" s="8"/>
      <c r="AB61" s="8"/>
      <c r="AC61" s="8"/>
      <c r="AD61" s="8"/>
      <c r="AW61" s="27"/>
      <c r="AX61" s="27"/>
      <c r="AY61" s="27"/>
      <c r="AZ61" s="27"/>
      <c r="BA61" s="27"/>
      <c r="BB61" s="27"/>
      <c r="BC61" s="27"/>
      <c r="BD61" s="27"/>
      <c r="BE61" s="27"/>
      <c r="BF61" s="28"/>
      <c r="BG61" s="28"/>
      <c r="BH61" s="28"/>
    </row>
    <row r="62" spans="1:61" ht="20.25">
      <c r="A62" s="54"/>
      <c r="B62" s="86" t="str">
        <f t="shared" si="4"/>
        <v/>
      </c>
      <c r="C62" s="106" t="str">
        <f t="shared" si="0"/>
        <v/>
      </c>
      <c r="D62" s="87" t="str">
        <f t="shared" si="1"/>
        <v/>
      </c>
      <c r="E62" s="96"/>
      <c r="F62" s="85"/>
      <c r="G62" s="85"/>
      <c r="H62" s="56"/>
      <c r="I62" s="85"/>
      <c r="J62" s="15"/>
      <c r="K62" s="15"/>
      <c r="L62" s="15"/>
      <c r="M62" s="15"/>
      <c r="N62" s="15"/>
      <c r="O62" s="15"/>
      <c r="P62" s="15"/>
      <c r="Q62" s="15"/>
      <c r="R62" s="30"/>
      <c r="S62" s="445" t="str">
        <f t="shared" si="6"/>
        <v/>
      </c>
      <c r="T62" s="445"/>
      <c r="U62" s="446" t="str">
        <f t="shared" si="7"/>
        <v/>
      </c>
      <c r="V62" s="446"/>
      <c r="W62" s="31"/>
      <c r="X62" s="31" t="e">
        <f t="shared" si="2"/>
        <v>#VALUE!</v>
      </c>
      <c r="Y62" s="32" t="str">
        <f t="shared" si="3"/>
        <v/>
      </c>
      <c r="Z62" s="8"/>
      <c r="AA62" s="8"/>
      <c r="AB62" s="8"/>
      <c r="AC62" s="8"/>
      <c r="AD62" s="8"/>
      <c r="AW62" s="27"/>
      <c r="AX62" s="27"/>
      <c r="AY62" s="27"/>
      <c r="AZ62" s="27"/>
      <c r="BA62" s="27"/>
      <c r="BB62" s="27"/>
      <c r="BC62" s="27"/>
      <c r="BD62" s="27"/>
      <c r="BE62" s="27"/>
      <c r="BF62" s="28"/>
      <c r="BG62" s="28"/>
      <c r="BH62" s="28"/>
    </row>
    <row r="63" spans="1:61" ht="20.25">
      <c r="A63" s="54"/>
      <c r="B63" s="86" t="str">
        <f t="shared" si="4"/>
        <v/>
      </c>
      <c r="C63" s="106" t="str">
        <f t="shared" si="0"/>
        <v/>
      </c>
      <c r="D63" s="87" t="str">
        <f t="shared" si="1"/>
        <v/>
      </c>
      <c r="E63" s="96"/>
      <c r="F63" s="85"/>
      <c r="G63" s="85"/>
      <c r="H63" s="56"/>
      <c r="I63" s="85"/>
      <c r="J63" s="15"/>
      <c r="K63" s="15"/>
      <c r="L63" s="15"/>
      <c r="M63" s="15"/>
      <c r="N63" s="15"/>
      <c r="O63" s="15"/>
      <c r="P63" s="15"/>
      <c r="Q63" s="15"/>
      <c r="R63" s="30"/>
      <c r="S63" s="445" t="str">
        <f t="shared" si="6"/>
        <v/>
      </c>
      <c r="T63" s="445"/>
      <c r="U63" s="446" t="str">
        <f t="shared" si="7"/>
        <v/>
      </c>
      <c r="V63" s="446"/>
      <c r="W63" s="31"/>
      <c r="X63" s="31" t="e">
        <f t="shared" si="2"/>
        <v>#VALUE!</v>
      </c>
      <c r="Y63" s="32" t="str">
        <f t="shared" si="3"/>
        <v/>
      </c>
      <c r="Z63" s="8"/>
      <c r="AA63" s="8"/>
      <c r="AB63" s="8"/>
      <c r="AC63" s="8"/>
      <c r="AD63" s="8"/>
      <c r="AW63" s="27"/>
      <c r="AX63" s="27"/>
      <c r="AY63" s="27"/>
      <c r="AZ63" s="27"/>
      <c r="BA63" s="27"/>
      <c r="BB63" s="27"/>
      <c r="BC63" s="27"/>
      <c r="BD63" s="27"/>
      <c r="BE63" s="27"/>
      <c r="BF63" s="28"/>
      <c r="BG63" s="28"/>
      <c r="BH63" s="28"/>
    </row>
    <row r="64" spans="1:61" ht="20.25">
      <c r="A64" s="54"/>
      <c r="B64" s="86" t="str">
        <f t="shared" si="4"/>
        <v/>
      </c>
      <c r="C64" s="106" t="str">
        <f t="shared" si="0"/>
        <v/>
      </c>
      <c r="D64" s="87" t="str">
        <f t="shared" si="1"/>
        <v/>
      </c>
      <c r="E64" s="96"/>
      <c r="F64" s="85"/>
      <c r="G64" s="85"/>
      <c r="H64" s="56"/>
      <c r="I64" s="85"/>
      <c r="J64" s="15"/>
      <c r="K64" s="15"/>
      <c r="L64" s="15"/>
      <c r="M64" s="15"/>
      <c r="N64" s="15"/>
      <c r="O64" s="15"/>
      <c r="P64" s="15"/>
      <c r="Q64" s="15"/>
      <c r="R64" s="30"/>
      <c r="S64" s="445" t="str">
        <f t="shared" si="6"/>
        <v/>
      </c>
      <c r="T64" s="445"/>
      <c r="U64" s="446" t="str">
        <f t="shared" si="7"/>
        <v/>
      </c>
      <c r="V64" s="446"/>
      <c r="W64" s="31"/>
      <c r="X64" s="31" t="e">
        <f t="shared" si="2"/>
        <v>#VALUE!</v>
      </c>
      <c r="Y64" s="32" t="str">
        <f t="shared" si="3"/>
        <v/>
      </c>
      <c r="Z64" s="8"/>
      <c r="AA64" s="8"/>
      <c r="AB64" s="8"/>
      <c r="AC64" s="8"/>
      <c r="AD64" s="8"/>
      <c r="AW64" s="27"/>
      <c r="AX64" s="27"/>
      <c r="AY64" s="27"/>
      <c r="AZ64" s="27"/>
      <c r="BA64" s="27"/>
      <c r="BB64" s="27"/>
      <c r="BC64" s="27"/>
      <c r="BD64" s="27"/>
      <c r="BE64" s="27"/>
      <c r="BF64" s="28"/>
      <c r="BG64" s="28"/>
      <c r="BH64" s="28"/>
    </row>
    <row r="65" spans="1:60" ht="20.25">
      <c r="A65" s="54"/>
      <c r="B65" s="86" t="str">
        <f t="shared" si="4"/>
        <v/>
      </c>
      <c r="C65" s="106" t="str">
        <f t="shared" si="0"/>
        <v/>
      </c>
      <c r="D65" s="87" t="str">
        <f t="shared" si="1"/>
        <v/>
      </c>
      <c r="E65" s="96"/>
      <c r="F65" s="85"/>
      <c r="G65" s="85"/>
      <c r="H65" s="56"/>
      <c r="I65" s="85"/>
      <c r="J65" s="15"/>
      <c r="K65" s="15"/>
      <c r="L65" s="15"/>
      <c r="M65" s="15"/>
      <c r="N65" s="15"/>
      <c r="O65" s="15"/>
      <c r="P65" s="15"/>
      <c r="Q65" s="15"/>
      <c r="R65" s="30"/>
      <c r="S65" s="445" t="str">
        <f t="shared" si="6"/>
        <v/>
      </c>
      <c r="T65" s="445"/>
      <c r="U65" s="446" t="str">
        <f t="shared" si="7"/>
        <v/>
      </c>
      <c r="V65" s="446"/>
      <c r="W65" s="31"/>
      <c r="X65" s="31" t="e">
        <f t="shared" si="2"/>
        <v>#VALUE!</v>
      </c>
      <c r="Y65" s="32" t="str">
        <f t="shared" si="3"/>
        <v/>
      </c>
      <c r="Z65" s="8"/>
      <c r="AA65" s="8"/>
      <c r="AB65" s="8"/>
      <c r="AC65" s="8"/>
      <c r="AD65" s="8"/>
      <c r="AW65" s="27"/>
      <c r="AX65" s="27"/>
      <c r="AY65" s="27"/>
      <c r="AZ65" s="27"/>
      <c r="BA65" s="27"/>
      <c r="BB65" s="27"/>
      <c r="BC65" s="27"/>
      <c r="BD65" s="27"/>
      <c r="BE65" s="27"/>
      <c r="BF65" s="28"/>
      <c r="BG65" s="28"/>
      <c r="BH65" s="28"/>
    </row>
    <row r="66" spans="1:60" ht="20.25">
      <c r="A66" s="54"/>
      <c r="B66" s="86" t="str">
        <f t="shared" si="4"/>
        <v/>
      </c>
      <c r="C66" s="106" t="str">
        <f t="shared" si="0"/>
        <v/>
      </c>
      <c r="D66" s="87" t="str">
        <f t="shared" si="1"/>
        <v/>
      </c>
      <c r="E66" s="96"/>
      <c r="F66" s="85"/>
      <c r="G66" s="85"/>
      <c r="H66" s="56"/>
      <c r="I66" s="85"/>
      <c r="J66" s="15"/>
      <c r="K66" s="15"/>
      <c r="L66" s="15"/>
      <c r="M66" s="15"/>
      <c r="N66" s="15"/>
      <c r="O66" s="15"/>
      <c r="P66" s="15"/>
      <c r="Q66" s="15"/>
      <c r="R66" s="30"/>
      <c r="S66" s="445" t="str">
        <f t="shared" si="6"/>
        <v/>
      </c>
      <c r="T66" s="445"/>
      <c r="U66" s="446" t="str">
        <f t="shared" si="7"/>
        <v/>
      </c>
      <c r="V66" s="446"/>
      <c r="W66" s="31"/>
      <c r="X66" s="31" t="e">
        <f t="shared" si="2"/>
        <v>#VALUE!</v>
      </c>
      <c r="Y66" s="32" t="str">
        <f t="shared" si="3"/>
        <v/>
      </c>
      <c r="Z66" s="8"/>
      <c r="AA66" s="8"/>
      <c r="AB66" s="8"/>
      <c r="AC66" s="8"/>
      <c r="AD66" s="8"/>
      <c r="AW66" s="27"/>
      <c r="AX66" s="27"/>
      <c r="AY66" s="27"/>
      <c r="AZ66" s="27"/>
      <c r="BA66" s="27"/>
      <c r="BB66" s="27"/>
      <c r="BC66" s="27"/>
      <c r="BD66" s="27"/>
      <c r="BE66" s="27"/>
      <c r="BF66" s="28"/>
      <c r="BG66" s="28"/>
      <c r="BH66" s="28"/>
    </row>
    <row r="67" spans="1:60" ht="20.25">
      <c r="A67" s="54"/>
      <c r="B67" s="86" t="str">
        <f t="shared" si="4"/>
        <v/>
      </c>
      <c r="C67" s="106" t="str">
        <f t="shared" si="0"/>
        <v/>
      </c>
      <c r="D67" s="87" t="str">
        <f t="shared" si="1"/>
        <v/>
      </c>
      <c r="E67" s="96"/>
      <c r="F67" s="85"/>
      <c r="G67" s="85"/>
      <c r="H67" s="56"/>
      <c r="I67" s="85"/>
      <c r="J67" s="15"/>
      <c r="K67" s="15"/>
      <c r="L67" s="15"/>
      <c r="M67" s="15"/>
      <c r="N67" s="15"/>
      <c r="O67" s="15"/>
      <c r="P67" s="15"/>
      <c r="Q67" s="15"/>
      <c r="R67" s="30"/>
      <c r="S67" s="445" t="str">
        <f t="shared" si="6"/>
        <v/>
      </c>
      <c r="T67" s="445"/>
      <c r="U67" s="446" t="str">
        <f t="shared" si="7"/>
        <v/>
      </c>
      <c r="V67" s="446"/>
      <c r="W67" s="31"/>
      <c r="X67" s="31" t="e">
        <f t="shared" si="2"/>
        <v>#VALUE!</v>
      </c>
      <c r="Y67" s="32" t="str">
        <f t="shared" si="3"/>
        <v/>
      </c>
      <c r="Z67" s="8"/>
      <c r="AA67" s="8"/>
      <c r="AB67" s="8"/>
      <c r="AC67" s="8"/>
      <c r="AD67" s="8"/>
      <c r="AW67" s="27"/>
      <c r="AX67" s="27"/>
      <c r="AY67" s="27"/>
      <c r="AZ67" s="27"/>
      <c r="BA67" s="27"/>
      <c r="BB67" s="27"/>
      <c r="BC67" s="27"/>
      <c r="BD67" s="27"/>
      <c r="BE67" s="27"/>
      <c r="BF67" s="28"/>
      <c r="BG67" s="28"/>
      <c r="BH67" s="28"/>
    </row>
    <row r="68" spans="1:60" ht="20.25">
      <c r="A68" s="54"/>
      <c r="B68" s="86" t="str">
        <f t="shared" si="4"/>
        <v/>
      </c>
      <c r="C68" s="106" t="str">
        <f t="shared" si="0"/>
        <v/>
      </c>
      <c r="D68" s="87" t="str">
        <f t="shared" si="1"/>
        <v/>
      </c>
      <c r="E68" s="96"/>
      <c r="F68" s="85"/>
      <c r="G68" s="85"/>
      <c r="H68" s="56"/>
      <c r="I68" s="85"/>
      <c r="J68" s="15"/>
      <c r="K68" s="15"/>
      <c r="L68" s="15"/>
      <c r="M68" s="15"/>
      <c r="N68" s="15"/>
      <c r="O68" s="15"/>
      <c r="P68" s="15"/>
      <c r="Q68" s="15"/>
      <c r="R68" s="30"/>
      <c r="S68" s="445" t="str">
        <f t="shared" ref="S68:S91" si="8">IF(NOT(B68=AA53),$D$42*(($B$92-(B68-1))/((($B$92+1)/2)*$B$92)),"")</f>
        <v/>
      </c>
      <c r="T68" s="445"/>
      <c r="U68" s="446" t="str">
        <f t="shared" ref="U68:U90" si="9">IF(NOT(B68=AA54),D68-T68,"")</f>
        <v/>
      </c>
      <c r="V68" s="446"/>
      <c r="W68" s="31"/>
      <c r="X68" s="31" t="e">
        <f t="shared" si="2"/>
        <v>#VALUE!</v>
      </c>
      <c r="Y68" s="32" t="str">
        <f t="shared" si="3"/>
        <v/>
      </c>
      <c r="Z68" s="8"/>
      <c r="AA68" s="8"/>
      <c r="AB68" s="8"/>
      <c r="AC68" s="8"/>
      <c r="AD68" s="8"/>
      <c r="AW68" s="27"/>
      <c r="AX68" s="27"/>
      <c r="AY68" s="27"/>
      <c r="AZ68" s="27"/>
      <c r="BA68" s="27"/>
      <c r="BB68" s="27"/>
      <c r="BC68" s="27"/>
      <c r="BD68" s="27"/>
      <c r="BE68" s="27"/>
      <c r="BF68" s="28"/>
      <c r="BG68" s="28"/>
      <c r="BH68" s="28"/>
    </row>
    <row r="69" spans="1:60" ht="20.25">
      <c r="A69" s="54"/>
      <c r="B69" s="86" t="str">
        <f t="shared" si="4"/>
        <v/>
      </c>
      <c r="C69" s="106" t="str">
        <f t="shared" si="0"/>
        <v/>
      </c>
      <c r="D69" s="87" t="str">
        <f t="shared" si="1"/>
        <v/>
      </c>
      <c r="E69" s="96"/>
      <c r="F69" s="85"/>
      <c r="G69" s="85"/>
      <c r="H69" s="56"/>
      <c r="I69" s="85"/>
      <c r="J69" s="15"/>
      <c r="K69" s="15"/>
      <c r="L69" s="15"/>
      <c r="M69" s="15"/>
      <c r="N69" s="15"/>
      <c r="O69" s="15"/>
      <c r="P69" s="15"/>
      <c r="Q69" s="15"/>
      <c r="R69" s="30"/>
      <c r="S69" s="445" t="str">
        <f t="shared" si="8"/>
        <v/>
      </c>
      <c r="T69" s="445"/>
      <c r="U69" s="446" t="str">
        <f t="shared" si="9"/>
        <v/>
      </c>
      <c r="V69" s="446"/>
      <c r="W69" s="31"/>
      <c r="X69" s="31" t="e">
        <f t="shared" si="2"/>
        <v>#VALUE!</v>
      </c>
      <c r="Y69" s="32" t="str">
        <f t="shared" si="3"/>
        <v/>
      </c>
      <c r="Z69" s="8"/>
      <c r="AA69" s="8"/>
      <c r="AB69" s="8"/>
      <c r="AC69" s="8"/>
      <c r="AD69" s="8"/>
      <c r="AW69" s="27"/>
      <c r="AX69" s="27"/>
      <c r="AY69" s="27"/>
      <c r="AZ69" s="27"/>
      <c r="BA69" s="27"/>
      <c r="BB69" s="27"/>
      <c r="BC69" s="27"/>
      <c r="BD69" s="27"/>
      <c r="BE69" s="27"/>
      <c r="BF69" s="28"/>
      <c r="BG69" s="28"/>
      <c r="BH69" s="28"/>
    </row>
    <row r="70" spans="1:60" ht="20.25">
      <c r="A70" s="54"/>
      <c r="B70" s="86" t="str">
        <f t="shared" si="4"/>
        <v/>
      </c>
      <c r="C70" s="106" t="str">
        <f t="shared" si="0"/>
        <v/>
      </c>
      <c r="D70" s="87" t="str">
        <f t="shared" si="1"/>
        <v/>
      </c>
      <c r="E70" s="96"/>
      <c r="F70" s="85"/>
      <c r="G70" s="85"/>
      <c r="H70" s="56"/>
      <c r="I70" s="85"/>
      <c r="J70" s="15"/>
      <c r="K70" s="15"/>
      <c r="L70" s="15"/>
      <c r="M70" s="15"/>
      <c r="N70" s="15"/>
      <c r="O70" s="15"/>
      <c r="P70" s="15"/>
      <c r="Q70" s="15"/>
      <c r="R70" s="30"/>
      <c r="S70" s="445" t="str">
        <f t="shared" si="8"/>
        <v/>
      </c>
      <c r="T70" s="445"/>
      <c r="U70" s="446" t="str">
        <f t="shared" si="9"/>
        <v/>
      </c>
      <c r="V70" s="446"/>
      <c r="W70" s="31"/>
      <c r="X70" s="31" t="e">
        <f t="shared" si="2"/>
        <v>#VALUE!</v>
      </c>
      <c r="Y70" s="32" t="str">
        <f t="shared" si="3"/>
        <v/>
      </c>
      <c r="Z70" s="8"/>
      <c r="AA70" s="8"/>
      <c r="AB70" s="8"/>
      <c r="AC70" s="8"/>
      <c r="AD70" s="8"/>
      <c r="AW70" s="27"/>
      <c r="AX70" s="27"/>
      <c r="AY70" s="27"/>
      <c r="AZ70" s="27"/>
      <c r="BA70" s="27"/>
      <c r="BB70" s="27"/>
      <c r="BC70" s="27"/>
      <c r="BD70" s="27"/>
      <c r="BE70" s="27"/>
      <c r="BF70" s="28"/>
      <c r="BG70" s="28"/>
      <c r="BH70" s="28"/>
    </row>
    <row r="71" spans="1:60" ht="20.25">
      <c r="A71" s="54"/>
      <c r="B71" s="86" t="str">
        <f t="shared" si="4"/>
        <v/>
      </c>
      <c r="C71" s="106" t="str">
        <f t="shared" si="0"/>
        <v/>
      </c>
      <c r="D71" s="87" t="str">
        <f t="shared" si="1"/>
        <v/>
      </c>
      <c r="E71" s="96"/>
      <c r="F71" s="85"/>
      <c r="G71" s="85"/>
      <c r="H71" s="56"/>
      <c r="I71" s="85"/>
      <c r="J71" s="15"/>
      <c r="K71" s="15"/>
      <c r="L71" s="15"/>
      <c r="M71" s="15"/>
      <c r="N71" s="15"/>
      <c r="O71" s="15"/>
      <c r="P71" s="15"/>
      <c r="Q71" s="15"/>
      <c r="R71" s="30"/>
      <c r="S71" s="445" t="str">
        <f t="shared" si="8"/>
        <v/>
      </c>
      <c r="T71" s="445"/>
      <c r="U71" s="446" t="str">
        <f t="shared" si="9"/>
        <v/>
      </c>
      <c r="V71" s="446"/>
      <c r="W71" s="31"/>
      <c r="X71" s="31" t="e">
        <f t="shared" si="2"/>
        <v>#VALUE!</v>
      </c>
      <c r="Y71" s="32" t="str">
        <f t="shared" si="3"/>
        <v/>
      </c>
      <c r="Z71" s="8"/>
      <c r="AA71" s="8"/>
      <c r="AB71" s="8"/>
      <c r="AC71" s="8"/>
      <c r="AD71" s="8"/>
      <c r="AW71" s="27"/>
      <c r="AX71" s="27"/>
      <c r="AY71" s="27"/>
      <c r="AZ71" s="27"/>
      <c r="BA71" s="27"/>
      <c r="BB71" s="27"/>
      <c r="BC71" s="27"/>
      <c r="BD71" s="27"/>
      <c r="BE71" s="27"/>
      <c r="BF71" s="28"/>
      <c r="BG71" s="28"/>
      <c r="BH71" s="28"/>
    </row>
    <row r="72" spans="1:60" ht="20.25">
      <c r="A72" s="54"/>
      <c r="B72" s="86" t="str">
        <f t="shared" si="4"/>
        <v/>
      </c>
      <c r="C72" s="106" t="str">
        <f t="shared" si="0"/>
        <v/>
      </c>
      <c r="D72" s="87" t="str">
        <f t="shared" si="1"/>
        <v/>
      </c>
      <c r="E72" s="96"/>
      <c r="F72" s="85"/>
      <c r="G72" s="85"/>
      <c r="H72" s="56"/>
      <c r="I72" s="85"/>
      <c r="J72" s="15"/>
      <c r="K72" s="15"/>
      <c r="L72" s="15"/>
      <c r="M72" s="15"/>
      <c r="N72" s="15"/>
      <c r="O72" s="15"/>
      <c r="P72" s="15"/>
      <c r="Q72" s="15"/>
      <c r="R72" s="30"/>
      <c r="S72" s="445" t="str">
        <f t="shared" si="8"/>
        <v/>
      </c>
      <c r="T72" s="445"/>
      <c r="U72" s="446" t="str">
        <f t="shared" si="9"/>
        <v/>
      </c>
      <c r="V72" s="446"/>
      <c r="W72" s="31"/>
      <c r="X72" s="31" t="e">
        <f t="shared" si="2"/>
        <v>#VALUE!</v>
      </c>
      <c r="Y72" s="32" t="str">
        <f t="shared" si="3"/>
        <v/>
      </c>
      <c r="Z72" s="8"/>
      <c r="AA72" s="8"/>
      <c r="AB72" s="8"/>
      <c r="AC72" s="8"/>
      <c r="AD72" s="8"/>
      <c r="AW72" s="27"/>
      <c r="AX72" s="27"/>
      <c r="AY72" s="27"/>
      <c r="AZ72" s="27"/>
      <c r="BA72" s="27"/>
      <c r="BB72" s="27"/>
      <c r="BC72" s="27"/>
      <c r="BD72" s="27"/>
      <c r="BE72" s="27"/>
      <c r="BF72" s="28"/>
      <c r="BG72" s="28"/>
      <c r="BH72" s="28"/>
    </row>
    <row r="73" spans="1:60" ht="20.25">
      <c r="A73" s="54"/>
      <c r="B73" s="86" t="str">
        <f t="shared" si="4"/>
        <v/>
      </c>
      <c r="C73" s="106" t="str">
        <f t="shared" si="0"/>
        <v/>
      </c>
      <c r="D73" s="87" t="str">
        <f t="shared" si="1"/>
        <v/>
      </c>
      <c r="E73" s="96"/>
      <c r="F73" s="85"/>
      <c r="G73" s="85"/>
      <c r="H73" s="56"/>
      <c r="I73" s="85"/>
      <c r="J73" s="15"/>
      <c r="K73" s="15"/>
      <c r="L73" s="15"/>
      <c r="M73" s="15"/>
      <c r="N73" s="15"/>
      <c r="O73" s="15"/>
      <c r="P73" s="15"/>
      <c r="Q73" s="15"/>
      <c r="R73" s="30"/>
      <c r="S73" s="445" t="str">
        <f t="shared" si="8"/>
        <v/>
      </c>
      <c r="T73" s="445"/>
      <c r="U73" s="446" t="str">
        <f t="shared" si="9"/>
        <v/>
      </c>
      <c r="V73" s="446"/>
      <c r="W73" s="31"/>
      <c r="X73" s="31" t="e">
        <f t="shared" si="2"/>
        <v>#VALUE!</v>
      </c>
      <c r="Y73" s="32" t="str">
        <f t="shared" si="3"/>
        <v/>
      </c>
      <c r="Z73" s="8"/>
      <c r="AA73" s="8"/>
      <c r="AB73" s="8"/>
      <c r="AC73" s="8"/>
      <c r="AD73" s="8"/>
      <c r="AW73" s="27"/>
      <c r="AX73" s="27"/>
      <c r="AY73" s="27"/>
      <c r="AZ73" s="27"/>
      <c r="BA73" s="27"/>
      <c r="BB73" s="27"/>
      <c r="BC73" s="27"/>
      <c r="BD73" s="27"/>
      <c r="BE73" s="27"/>
      <c r="BF73" s="28"/>
      <c r="BG73" s="28"/>
      <c r="BH73" s="28"/>
    </row>
    <row r="74" spans="1:60" ht="20.25">
      <c r="A74" s="54"/>
      <c r="B74" s="86" t="str">
        <f t="shared" si="4"/>
        <v/>
      </c>
      <c r="C74" s="106" t="str">
        <f t="shared" si="0"/>
        <v/>
      </c>
      <c r="D74" s="87" t="str">
        <f t="shared" si="1"/>
        <v/>
      </c>
      <c r="E74" s="96"/>
      <c r="F74" s="85"/>
      <c r="G74" s="85"/>
      <c r="H74" s="56"/>
      <c r="I74" s="85"/>
      <c r="J74" s="15"/>
      <c r="K74" s="15"/>
      <c r="L74" s="15"/>
      <c r="M74" s="15"/>
      <c r="N74" s="15"/>
      <c r="O74" s="15"/>
      <c r="P74" s="15"/>
      <c r="Q74" s="15"/>
      <c r="R74" s="30"/>
      <c r="S74" s="445" t="str">
        <f t="shared" si="8"/>
        <v/>
      </c>
      <c r="T74" s="445"/>
      <c r="U74" s="446" t="str">
        <f t="shared" si="9"/>
        <v/>
      </c>
      <c r="V74" s="446"/>
      <c r="W74" s="31"/>
      <c r="X74" s="31" t="e">
        <f t="shared" si="2"/>
        <v>#VALUE!</v>
      </c>
      <c r="Y74" s="32" t="str">
        <f t="shared" si="3"/>
        <v/>
      </c>
      <c r="Z74" s="8"/>
      <c r="AA74" s="8"/>
      <c r="AB74" s="8"/>
      <c r="AC74" s="8"/>
      <c r="AD74" s="8"/>
      <c r="AW74" s="27"/>
      <c r="AX74" s="27"/>
      <c r="AY74" s="27"/>
      <c r="AZ74" s="27"/>
      <c r="BA74" s="27"/>
      <c r="BB74" s="27"/>
      <c r="BC74" s="27"/>
      <c r="BD74" s="27"/>
      <c r="BE74" s="27"/>
      <c r="BF74" s="28"/>
      <c r="BG74" s="28"/>
      <c r="BH74" s="28"/>
    </row>
    <row r="75" spans="1:60" ht="20.25">
      <c r="A75" s="54"/>
      <c r="B75" s="86" t="str">
        <f t="shared" si="4"/>
        <v/>
      </c>
      <c r="C75" s="106" t="str">
        <f t="shared" si="0"/>
        <v/>
      </c>
      <c r="D75" s="87" t="str">
        <f t="shared" si="1"/>
        <v/>
      </c>
      <c r="E75" s="96"/>
      <c r="F75" s="85"/>
      <c r="G75" s="85"/>
      <c r="H75" s="56"/>
      <c r="I75" s="85"/>
      <c r="J75" s="15"/>
      <c r="K75" s="15"/>
      <c r="L75" s="15"/>
      <c r="M75" s="15"/>
      <c r="N75" s="15"/>
      <c r="O75" s="15"/>
      <c r="P75" s="15"/>
      <c r="Q75" s="15"/>
      <c r="R75" s="30"/>
      <c r="S75" s="445" t="str">
        <f t="shared" si="8"/>
        <v/>
      </c>
      <c r="T75" s="445"/>
      <c r="U75" s="446" t="str">
        <f t="shared" si="9"/>
        <v/>
      </c>
      <c r="V75" s="446"/>
      <c r="W75" s="31"/>
      <c r="X75" s="31" t="e">
        <f t="shared" si="2"/>
        <v>#VALUE!</v>
      </c>
      <c r="Y75" s="32" t="str">
        <f t="shared" si="3"/>
        <v/>
      </c>
      <c r="Z75" s="8"/>
      <c r="AA75" s="8"/>
      <c r="AB75" s="8"/>
      <c r="AC75" s="8"/>
      <c r="AD75" s="8"/>
      <c r="AW75" s="27"/>
      <c r="AX75" s="27"/>
      <c r="AY75" s="27"/>
      <c r="AZ75" s="27"/>
      <c r="BA75" s="27"/>
      <c r="BB75" s="27"/>
      <c r="BC75" s="27"/>
      <c r="BD75" s="27"/>
      <c r="BE75" s="27"/>
      <c r="BF75" s="28"/>
      <c r="BG75" s="28"/>
      <c r="BH75" s="28"/>
    </row>
    <row r="76" spans="1:60" ht="20.25">
      <c r="A76" s="54"/>
      <c r="B76" s="86" t="str">
        <f t="shared" si="4"/>
        <v/>
      </c>
      <c r="C76" s="106" t="str">
        <f t="shared" si="0"/>
        <v/>
      </c>
      <c r="D76" s="87" t="str">
        <f t="shared" si="1"/>
        <v/>
      </c>
      <c r="E76" s="96"/>
      <c r="F76" s="85"/>
      <c r="G76" s="85"/>
      <c r="H76" s="56"/>
      <c r="I76" s="85"/>
      <c r="J76" s="15"/>
      <c r="K76" s="15"/>
      <c r="L76" s="15"/>
      <c r="M76" s="15"/>
      <c r="N76" s="15"/>
      <c r="O76" s="15"/>
      <c r="P76" s="15"/>
      <c r="Q76" s="15"/>
      <c r="R76" s="30"/>
      <c r="S76" s="445" t="str">
        <f t="shared" si="8"/>
        <v/>
      </c>
      <c r="T76" s="445"/>
      <c r="U76" s="446" t="str">
        <f t="shared" si="9"/>
        <v/>
      </c>
      <c r="V76" s="446"/>
      <c r="W76" s="31"/>
      <c r="X76" s="31" t="e">
        <f t="shared" si="2"/>
        <v>#VALUE!</v>
      </c>
      <c r="Y76" s="32" t="str">
        <f t="shared" si="3"/>
        <v/>
      </c>
      <c r="Z76" s="8"/>
      <c r="AA76" s="8"/>
      <c r="AB76" s="8"/>
      <c r="AC76" s="8"/>
      <c r="AD76" s="8"/>
      <c r="AW76" s="27"/>
      <c r="AX76" s="27"/>
      <c r="AY76" s="27"/>
      <c r="AZ76" s="27"/>
      <c r="BA76" s="27"/>
      <c r="BB76" s="27"/>
      <c r="BC76" s="27"/>
      <c r="BD76" s="27"/>
      <c r="BE76" s="27"/>
      <c r="BF76" s="28"/>
      <c r="BG76" s="28"/>
      <c r="BH76" s="28"/>
    </row>
    <row r="77" spans="1:60" ht="20.25">
      <c r="A77" s="54"/>
      <c r="B77" s="86" t="str">
        <f t="shared" si="4"/>
        <v/>
      </c>
      <c r="C77" s="106" t="str">
        <f t="shared" si="0"/>
        <v/>
      </c>
      <c r="D77" s="87" t="str">
        <f t="shared" si="1"/>
        <v/>
      </c>
      <c r="E77" s="96"/>
      <c r="F77" s="85"/>
      <c r="G77" s="85"/>
      <c r="H77" s="56"/>
      <c r="I77" s="85"/>
      <c r="J77" s="15"/>
      <c r="K77" s="15"/>
      <c r="L77" s="15"/>
      <c r="M77" s="15"/>
      <c r="N77" s="15"/>
      <c r="O77" s="15"/>
      <c r="P77" s="15"/>
      <c r="Q77" s="15"/>
      <c r="R77" s="30"/>
      <c r="S77" s="445" t="str">
        <f t="shared" si="8"/>
        <v/>
      </c>
      <c r="T77" s="445"/>
      <c r="U77" s="446" t="str">
        <f t="shared" si="9"/>
        <v/>
      </c>
      <c r="V77" s="446"/>
      <c r="W77" s="31"/>
      <c r="X77" s="31" t="e">
        <f t="shared" si="2"/>
        <v>#VALUE!</v>
      </c>
      <c r="Y77" s="32" t="str">
        <f t="shared" si="3"/>
        <v/>
      </c>
      <c r="Z77" s="8"/>
      <c r="AA77" s="8"/>
      <c r="AB77" s="8"/>
      <c r="AC77" s="8"/>
      <c r="AD77" s="8"/>
      <c r="AW77" s="27"/>
      <c r="AX77" s="27"/>
      <c r="AY77" s="27"/>
      <c r="AZ77" s="27"/>
      <c r="BA77" s="27"/>
      <c r="BB77" s="27"/>
      <c r="BC77" s="27"/>
      <c r="BD77" s="27"/>
      <c r="BE77" s="27"/>
      <c r="BF77" s="28"/>
      <c r="BG77" s="28"/>
      <c r="BH77" s="28"/>
    </row>
    <row r="78" spans="1:60" ht="20.25">
      <c r="A78" s="54"/>
      <c r="B78" s="86" t="str">
        <f t="shared" si="4"/>
        <v/>
      </c>
      <c r="C78" s="106" t="str">
        <f t="shared" si="0"/>
        <v/>
      </c>
      <c r="D78" s="87" t="str">
        <f t="shared" si="1"/>
        <v/>
      </c>
      <c r="E78" s="96"/>
      <c r="F78" s="85"/>
      <c r="G78" s="85"/>
      <c r="H78" s="56"/>
      <c r="I78" s="85"/>
      <c r="J78" s="15"/>
      <c r="K78" s="15"/>
      <c r="L78" s="15"/>
      <c r="M78" s="15"/>
      <c r="N78" s="15"/>
      <c r="O78" s="15"/>
      <c r="P78" s="15"/>
      <c r="Q78" s="15"/>
      <c r="R78" s="30"/>
      <c r="S78" s="445" t="str">
        <f t="shared" si="8"/>
        <v/>
      </c>
      <c r="T78" s="445"/>
      <c r="U78" s="446" t="str">
        <f t="shared" si="9"/>
        <v/>
      </c>
      <c r="V78" s="446"/>
      <c r="W78" s="31"/>
      <c r="X78" s="31" t="e">
        <f t="shared" si="2"/>
        <v>#VALUE!</v>
      </c>
      <c r="Y78" s="32" t="str">
        <f t="shared" si="3"/>
        <v/>
      </c>
      <c r="Z78" s="8"/>
      <c r="AA78" s="8"/>
      <c r="AB78" s="8"/>
      <c r="AC78" s="8"/>
      <c r="AD78" s="8"/>
      <c r="AW78" s="27"/>
      <c r="AX78" s="27"/>
      <c r="AY78" s="27"/>
      <c r="AZ78" s="27"/>
      <c r="BA78" s="27"/>
      <c r="BB78" s="27"/>
      <c r="BC78" s="27"/>
      <c r="BD78" s="27"/>
      <c r="BE78" s="27"/>
      <c r="BF78" s="28"/>
      <c r="BG78" s="28"/>
      <c r="BH78" s="28"/>
    </row>
    <row r="79" spans="1:60" ht="20.25">
      <c r="A79" s="54"/>
      <c r="B79" s="86" t="str">
        <f t="shared" si="4"/>
        <v/>
      </c>
      <c r="C79" s="106" t="str">
        <f t="shared" si="0"/>
        <v/>
      </c>
      <c r="D79" s="87" t="str">
        <f t="shared" si="1"/>
        <v/>
      </c>
      <c r="E79" s="96"/>
      <c r="F79" s="85"/>
      <c r="G79" s="85"/>
      <c r="H79" s="56"/>
      <c r="I79" s="85"/>
      <c r="J79" s="15"/>
      <c r="K79" s="15"/>
      <c r="L79" s="15"/>
      <c r="M79" s="15"/>
      <c r="N79" s="15"/>
      <c r="O79" s="15"/>
      <c r="P79" s="15"/>
      <c r="Q79" s="15"/>
      <c r="R79" s="30"/>
      <c r="S79" s="445" t="str">
        <f t="shared" si="8"/>
        <v/>
      </c>
      <c r="T79" s="445"/>
      <c r="U79" s="446" t="str">
        <f t="shared" si="9"/>
        <v/>
      </c>
      <c r="V79" s="446"/>
      <c r="W79" s="31"/>
      <c r="X79" s="31" t="e">
        <f t="shared" si="2"/>
        <v>#VALUE!</v>
      </c>
      <c r="Y79" s="32" t="str">
        <f t="shared" si="3"/>
        <v/>
      </c>
      <c r="Z79" s="8"/>
      <c r="AA79" s="8"/>
      <c r="AB79" s="8"/>
      <c r="AC79" s="8"/>
      <c r="AD79" s="8"/>
      <c r="AW79" s="27"/>
      <c r="AX79" s="27"/>
      <c r="AY79" s="27"/>
      <c r="AZ79" s="27"/>
      <c r="BA79" s="27"/>
      <c r="BB79" s="27"/>
      <c r="BC79" s="27"/>
      <c r="BD79" s="27"/>
      <c r="BE79" s="27"/>
      <c r="BF79" s="28"/>
      <c r="BG79" s="28"/>
      <c r="BH79" s="28"/>
    </row>
    <row r="80" spans="1:60" ht="20.25">
      <c r="A80" s="54"/>
      <c r="B80" s="86" t="str">
        <f t="shared" si="4"/>
        <v/>
      </c>
      <c r="C80" s="106" t="str">
        <f t="shared" si="0"/>
        <v/>
      </c>
      <c r="D80" s="87" t="str">
        <f t="shared" si="1"/>
        <v/>
      </c>
      <c r="E80" s="96"/>
      <c r="F80" s="85"/>
      <c r="G80" s="85"/>
      <c r="H80" s="56"/>
      <c r="I80" s="85"/>
      <c r="J80" s="15"/>
      <c r="K80" s="15"/>
      <c r="L80" s="15"/>
      <c r="M80" s="15"/>
      <c r="N80" s="15"/>
      <c r="O80" s="15"/>
      <c r="P80" s="15"/>
      <c r="Q80" s="15"/>
      <c r="R80" s="30"/>
      <c r="S80" s="445" t="str">
        <f t="shared" si="8"/>
        <v/>
      </c>
      <c r="T80" s="445"/>
      <c r="U80" s="446" t="str">
        <f t="shared" si="9"/>
        <v/>
      </c>
      <c r="V80" s="446"/>
      <c r="W80" s="31"/>
      <c r="X80" s="31" t="e">
        <f t="shared" si="2"/>
        <v>#VALUE!</v>
      </c>
      <c r="Y80" s="32" t="str">
        <f t="shared" si="3"/>
        <v/>
      </c>
      <c r="Z80" s="8"/>
      <c r="AA80" s="8"/>
      <c r="AB80" s="8"/>
      <c r="AC80" s="8"/>
      <c r="AD80" s="8"/>
      <c r="AW80" s="27"/>
      <c r="AX80" s="27"/>
      <c r="AY80" s="27"/>
      <c r="AZ80" s="27"/>
      <c r="BA80" s="27"/>
      <c r="BB80" s="27"/>
      <c r="BC80" s="27"/>
      <c r="BD80" s="27"/>
      <c r="BE80" s="27"/>
      <c r="BF80" s="28"/>
      <c r="BG80" s="28"/>
      <c r="BH80" s="28"/>
    </row>
    <row r="81" spans="1:60" ht="20.25">
      <c r="A81" s="54"/>
      <c r="B81" s="86" t="str">
        <f t="shared" si="4"/>
        <v/>
      </c>
      <c r="C81" s="106" t="str">
        <f t="shared" si="0"/>
        <v/>
      </c>
      <c r="D81" s="87" t="str">
        <f t="shared" si="1"/>
        <v/>
      </c>
      <c r="E81" s="96"/>
      <c r="F81" s="85"/>
      <c r="G81" s="85"/>
      <c r="H81" s="56"/>
      <c r="I81" s="85"/>
      <c r="J81" s="15"/>
      <c r="K81" s="15"/>
      <c r="L81" s="15"/>
      <c r="M81" s="15"/>
      <c r="N81" s="15"/>
      <c r="O81" s="15"/>
      <c r="P81" s="15"/>
      <c r="Q81" s="15"/>
      <c r="R81" s="30"/>
      <c r="S81" s="445" t="str">
        <f t="shared" si="8"/>
        <v/>
      </c>
      <c r="T81" s="445"/>
      <c r="U81" s="446" t="str">
        <f t="shared" si="9"/>
        <v/>
      </c>
      <c r="V81" s="446"/>
      <c r="W81" s="31"/>
      <c r="X81" s="31" t="e">
        <f t="shared" si="2"/>
        <v>#VALUE!</v>
      </c>
      <c r="Y81" s="32" t="str">
        <f t="shared" si="3"/>
        <v/>
      </c>
      <c r="Z81" s="8"/>
      <c r="AA81" s="8"/>
      <c r="AB81" s="8"/>
      <c r="AC81" s="8"/>
      <c r="AD81" s="8"/>
      <c r="AW81" s="27"/>
      <c r="AX81" s="27"/>
      <c r="AY81" s="27"/>
      <c r="AZ81" s="27"/>
      <c r="BA81" s="27"/>
      <c r="BB81" s="27"/>
      <c r="BC81" s="27"/>
      <c r="BD81" s="27"/>
      <c r="BE81" s="27"/>
      <c r="BF81" s="28"/>
      <c r="BG81" s="28"/>
      <c r="BH81" s="28"/>
    </row>
    <row r="82" spans="1:60" ht="20.25">
      <c r="A82" s="54"/>
      <c r="B82" s="86" t="str">
        <f t="shared" si="4"/>
        <v/>
      </c>
      <c r="C82" s="106" t="str">
        <f t="shared" si="0"/>
        <v/>
      </c>
      <c r="D82" s="87" t="str">
        <f t="shared" si="1"/>
        <v/>
      </c>
      <c r="E82" s="96"/>
      <c r="F82" s="85"/>
      <c r="G82" s="85"/>
      <c r="H82" s="56"/>
      <c r="I82" s="85"/>
      <c r="J82" s="15"/>
      <c r="K82" s="15"/>
      <c r="L82" s="15"/>
      <c r="M82" s="15"/>
      <c r="N82" s="15"/>
      <c r="O82" s="15"/>
      <c r="P82" s="15"/>
      <c r="Q82" s="15"/>
      <c r="R82" s="30"/>
      <c r="S82" s="445" t="str">
        <f t="shared" si="8"/>
        <v/>
      </c>
      <c r="T82" s="445"/>
      <c r="U82" s="446" t="str">
        <f t="shared" si="9"/>
        <v/>
      </c>
      <c r="V82" s="446"/>
      <c r="W82" s="31"/>
      <c r="X82" s="31" t="e">
        <f t="shared" si="2"/>
        <v>#VALUE!</v>
      </c>
      <c r="Y82" s="32" t="str">
        <f t="shared" si="3"/>
        <v/>
      </c>
      <c r="Z82" s="8"/>
      <c r="AA82" s="8"/>
      <c r="AB82" s="8"/>
      <c r="AC82" s="8"/>
      <c r="AD82" s="8"/>
      <c r="AW82" s="27"/>
      <c r="AX82" s="27"/>
      <c r="AY82" s="27"/>
      <c r="AZ82" s="27"/>
      <c r="BA82" s="27"/>
      <c r="BB82" s="27"/>
      <c r="BC82" s="27"/>
      <c r="BD82" s="27"/>
      <c r="BE82" s="27"/>
      <c r="BF82" s="28"/>
      <c r="BG82" s="28"/>
      <c r="BH82" s="28"/>
    </row>
    <row r="83" spans="1:60" ht="20.25">
      <c r="A83" s="54"/>
      <c r="B83" s="86" t="str">
        <f t="shared" si="4"/>
        <v/>
      </c>
      <c r="C83" s="106" t="str">
        <f t="shared" si="0"/>
        <v/>
      </c>
      <c r="D83" s="87" t="str">
        <f t="shared" si="1"/>
        <v/>
      </c>
      <c r="E83" s="96"/>
      <c r="F83" s="85"/>
      <c r="G83" s="85"/>
      <c r="H83" s="56"/>
      <c r="I83" s="85"/>
      <c r="J83" s="15"/>
      <c r="K83" s="15"/>
      <c r="L83" s="15"/>
      <c r="M83" s="15"/>
      <c r="N83" s="15"/>
      <c r="O83" s="15"/>
      <c r="P83" s="15"/>
      <c r="Q83" s="15"/>
      <c r="R83" s="30"/>
      <c r="S83" s="445" t="str">
        <f t="shared" si="8"/>
        <v/>
      </c>
      <c r="T83" s="445"/>
      <c r="U83" s="446" t="str">
        <f t="shared" si="9"/>
        <v/>
      </c>
      <c r="V83" s="446"/>
      <c r="W83" s="31"/>
      <c r="X83" s="31" t="e">
        <f t="shared" si="2"/>
        <v>#VALUE!</v>
      </c>
      <c r="Y83" s="32" t="str">
        <f t="shared" si="3"/>
        <v/>
      </c>
      <c r="Z83" s="8"/>
      <c r="AA83" s="8"/>
      <c r="AB83" s="8"/>
      <c r="AC83" s="8"/>
      <c r="AD83" s="8"/>
      <c r="AW83" s="27"/>
      <c r="AX83" s="27"/>
      <c r="AY83" s="27"/>
      <c r="AZ83" s="27"/>
      <c r="BA83" s="27"/>
      <c r="BB83" s="27"/>
      <c r="BC83" s="27"/>
      <c r="BD83" s="27"/>
      <c r="BE83" s="27"/>
      <c r="BF83" s="28"/>
      <c r="BG83" s="28"/>
      <c r="BH83" s="28"/>
    </row>
    <row r="84" spans="1:60" ht="20.25">
      <c r="A84" s="54"/>
      <c r="B84" s="86" t="str">
        <f t="shared" si="4"/>
        <v/>
      </c>
      <c r="C84" s="106" t="str">
        <f t="shared" si="0"/>
        <v/>
      </c>
      <c r="D84" s="87" t="str">
        <f t="shared" si="1"/>
        <v/>
      </c>
      <c r="E84" s="96"/>
      <c r="F84" s="85"/>
      <c r="G84" s="85"/>
      <c r="H84" s="56"/>
      <c r="I84" s="85"/>
      <c r="J84" s="15"/>
      <c r="K84" s="15"/>
      <c r="L84" s="15"/>
      <c r="M84" s="15"/>
      <c r="N84" s="15"/>
      <c r="O84" s="15"/>
      <c r="P84" s="15"/>
      <c r="Q84" s="15"/>
      <c r="R84" s="30"/>
      <c r="S84" s="445" t="str">
        <f t="shared" si="8"/>
        <v/>
      </c>
      <c r="T84" s="445"/>
      <c r="U84" s="446" t="str">
        <f t="shared" si="9"/>
        <v/>
      </c>
      <c r="V84" s="446"/>
      <c r="W84" s="31"/>
      <c r="X84" s="31" t="e">
        <f t="shared" si="2"/>
        <v>#VALUE!</v>
      </c>
      <c r="Y84" s="32" t="str">
        <f t="shared" si="3"/>
        <v/>
      </c>
      <c r="Z84" s="8"/>
      <c r="AA84" s="8"/>
      <c r="AB84" s="8"/>
      <c r="AC84" s="8"/>
      <c r="AD84" s="8"/>
      <c r="AW84" s="27"/>
      <c r="AX84" s="27"/>
      <c r="AY84" s="27"/>
      <c r="AZ84" s="27"/>
      <c r="BA84" s="27"/>
      <c r="BB84" s="27"/>
      <c r="BC84" s="27"/>
      <c r="BD84" s="27"/>
      <c r="BE84" s="27"/>
      <c r="BF84" s="28"/>
      <c r="BG84" s="28"/>
      <c r="BH84" s="28"/>
    </row>
    <row r="85" spans="1:60" ht="20.25">
      <c r="A85" s="54"/>
      <c r="B85" s="86" t="str">
        <f t="shared" si="4"/>
        <v/>
      </c>
      <c r="C85" s="106" t="str">
        <f t="shared" si="0"/>
        <v/>
      </c>
      <c r="D85" s="87" t="str">
        <f t="shared" si="1"/>
        <v/>
      </c>
      <c r="E85" s="96"/>
      <c r="F85" s="85"/>
      <c r="G85" s="85"/>
      <c r="H85" s="56"/>
      <c r="I85" s="85"/>
      <c r="J85" s="15"/>
      <c r="K85" s="15"/>
      <c r="L85" s="15"/>
      <c r="M85" s="15"/>
      <c r="N85" s="15"/>
      <c r="O85" s="15"/>
      <c r="P85" s="15"/>
      <c r="Q85" s="15"/>
      <c r="R85" s="30"/>
      <c r="S85" s="445" t="str">
        <f t="shared" si="8"/>
        <v/>
      </c>
      <c r="T85" s="445"/>
      <c r="U85" s="446" t="str">
        <f t="shared" si="9"/>
        <v/>
      </c>
      <c r="V85" s="446"/>
      <c r="W85" s="31"/>
      <c r="X85" s="31" t="e">
        <f t="shared" si="2"/>
        <v>#VALUE!</v>
      </c>
      <c r="Y85" s="32" t="str">
        <f t="shared" si="3"/>
        <v/>
      </c>
      <c r="Z85" s="8"/>
      <c r="AA85" s="8"/>
      <c r="AB85" s="8"/>
      <c r="AC85" s="8"/>
      <c r="AD85" s="8"/>
      <c r="AW85" s="27"/>
      <c r="AX85" s="27"/>
      <c r="AY85" s="27"/>
      <c r="AZ85" s="27"/>
      <c r="BA85" s="27"/>
      <c r="BB85" s="27"/>
      <c r="BC85" s="27"/>
      <c r="BD85" s="27"/>
      <c r="BE85" s="27"/>
      <c r="BF85" s="28"/>
      <c r="BG85" s="28"/>
      <c r="BH85" s="28"/>
    </row>
    <row r="86" spans="1:60" ht="20.25">
      <c r="A86" s="54"/>
      <c r="B86" s="86" t="str">
        <f t="shared" si="4"/>
        <v/>
      </c>
      <c r="C86" s="106" t="str">
        <f t="shared" si="0"/>
        <v/>
      </c>
      <c r="D86" s="87" t="str">
        <f t="shared" si="1"/>
        <v/>
      </c>
      <c r="E86" s="96"/>
      <c r="F86" s="85"/>
      <c r="G86" s="85"/>
      <c r="H86" s="56"/>
      <c r="I86" s="85"/>
      <c r="J86" s="15"/>
      <c r="K86" s="15"/>
      <c r="L86" s="15"/>
      <c r="M86" s="15"/>
      <c r="N86" s="15"/>
      <c r="O86" s="15"/>
      <c r="P86" s="15"/>
      <c r="Q86" s="15"/>
      <c r="R86" s="30"/>
      <c r="S86" s="445" t="str">
        <f t="shared" si="8"/>
        <v/>
      </c>
      <c r="T86" s="445"/>
      <c r="U86" s="446" t="str">
        <f t="shared" si="9"/>
        <v/>
      </c>
      <c r="V86" s="446"/>
      <c r="W86" s="31"/>
      <c r="X86" s="31" t="e">
        <f t="shared" si="2"/>
        <v>#VALUE!</v>
      </c>
      <c r="Y86" s="32" t="str">
        <f t="shared" si="3"/>
        <v/>
      </c>
      <c r="Z86" s="8"/>
      <c r="AA86" s="8"/>
      <c r="AB86" s="8"/>
      <c r="AC86" s="8"/>
      <c r="AD86" s="8"/>
      <c r="AW86" s="27"/>
      <c r="AX86" s="27"/>
      <c r="AY86" s="27"/>
      <c r="AZ86" s="27"/>
      <c r="BA86" s="27"/>
      <c r="BB86" s="27"/>
      <c r="BC86" s="27"/>
      <c r="BD86" s="27"/>
      <c r="BE86" s="27"/>
      <c r="BF86" s="28"/>
      <c r="BG86" s="28"/>
      <c r="BH86" s="28"/>
    </row>
    <row r="87" spans="1:60" ht="20.25">
      <c r="A87" s="54"/>
      <c r="B87" s="86" t="str">
        <f t="shared" si="4"/>
        <v/>
      </c>
      <c r="C87" s="106" t="str">
        <f t="shared" si="0"/>
        <v/>
      </c>
      <c r="D87" s="87" t="str">
        <f t="shared" si="1"/>
        <v/>
      </c>
      <c r="E87" s="96"/>
      <c r="F87" s="85"/>
      <c r="G87" s="85"/>
      <c r="H87" s="56"/>
      <c r="I87" s="85"/>
      <c r="J87" s="15"/>
      <c r="K87" s="15"/>
      <c r="L87" s="15"/>
      <c r="M87" s="15"/>
      <c r="N87" s="15"/>
      <c r="O87" s="15"/>
      <c r="P87" s="15"/>
      <c r="Q87" s="15"/>
      <c r="R87" s="30"/>
      <c r="S87" s="445" t="str">
        <f t="shared" si="8"/>
        <v/>
      </c>
      <c r="T87" s="445"/>
      <c r="U87" s="446" t="str">
        <f t="shared" si="9"/>
        <v/>
      </c>
      <c r="V87" s="446"/>
      <c r="W87" s="31"/>
      <c r="X87" s="31" t="e">
        <f t="shared" si="2"/>
        <v>#VALUE!</v>
      </c>
      <c r="Y87" s="32" t="str">
        <f t="shared" si="3"/>
        <v/>
      </c>
      <c r="Z87" s="8"/>
      <c r="AA87" s="8"/>
      <c r="AB87" s="8"/>
      <c r="AC87" s="8"/>
      <c r="AD87" s="8"/>
      <c r="AW87" s="27"/>
      <c r="AX87" s="27"/>
      <c r="AY87" s="27"/>
      <c r="AZ87" s="27"/>
      <c r="BA87" s="27"/>
      <c r="BB87" s="27"/>
      <c r="BC87" s="27"/>
      <c r="BD87" s="27"/>
      <c r="BE87" s="27"/>
      <c r="BF87" s="28"/>
      <c r="BG87" s="28"/>
      <c r="BH87" s="28"/>
    </row>
    <row r="88" spans="1:60" ht="20.25">
      <c r="A88" s="54"/>
      <c r="B88" s="86" t="str">
        <f t="shared" si="4"/>
        <v/>
      </c>
      <c r="C88" s="106" t="str">
        <f t="shared" si="0"/>
        <v/>
      </c>
      <c r="D88" s="87" t="str">
        <f t="shared" si="1"/>
        <v/>
      </c>
      <c r="E88" s="96"/>
      <c r="F88" s="85"/>
      <c r="G88" s="85"/>
      <c r="H88" s="56"/>
      <c r="I88" s="85"/>
      <c r="J88" s="15"/>
      <c r="K88" s="15"/>
      <c r="L88" s="15"/>
      <c r="M88" s="15"/>
      <c r="N88" s="15"/>
      <c r="O88" s="15"/>
      <c r="P88" s="15"/>
      <c r="Q88" s="15"/>
      <c r="R88" s="30"/>
      <c r="S88" s="445" t="str">
        <f t="shared" si="8"/>
        <v/>
      </c>
      <c r="T88" s="445"/>
      <c r="U88" s="446" t="str">
        <f t="shared" si="9"/>
        <v/>
      </c>
      <c r="V88" s="446"/>
      <c r="W88" s="31"/>
      <c r="X88" s="31" t="e">
        <f t="shared" si="2"/>
        <v>#VALUE!</v>
      </c>
      <c r="Y88" s="32" t="str">
        <f t="shared" si="3"/>
        <v/>
      </c>
      <c r="Z88" s="8"/>
      <c r="AA88" s="8"/>
      <c r="AB88" s="8"/>
      <c r="AC88" s="8"/>
      <c r="AD88" s="8"/>
      <c r="AW88" s="27"/>
      <c r="AX88" s="27"/>
      <c r="AY88" s="27"/>
      <c r="AZ88" s="27"/>
      <c r="BA88" s="27"/>
      <c r="BB88" s="27"/>
      <c r="BC88" s="27"/>
      <c r="BD88" s="27"/>
      <c r="BE88" s="27"/>
      <c r="BF88" s="28"/>
      <c r="BG88" s="28"/>
      <c r="BH88" s="28"/>
    </row>
    <row r="89" spans="1:60" ht="20.25">
      <c r="A89" s="54"/>
      <c r="B89" s="86" t="str">
        <f t="shared" si="4"/>
        <v/>
      </c>
      <c r="C89" s="106" t="str">
        <f t="shared" si="0"/>
        <v/>
      </c>
      <c r="D89" s="87" t="str">
        <f t="shared" si="1"/>
        <v/>
      </c>
      <c r="E89" s="96"/>
      <c r="F89" s="85"/>
      <c r="G89" s="85"/>
      <c r="H89" s="56"/>
      <c r="I89" s="85"/>
      <c r="J89" s="15"/>
      <c r="K89" s="15"/>
      <c r="L89" s="15"/>
      <c r="M89" s="15"/>
      <c r="N89" s="15"/>
      <c r="O89" s="15"/>
      <c r="P89" s="15"/>
      <c r="Q89" s="15"/>
      <c r="R89" s="30"/>
      <c r="S89" s="445" t="str">
        <f t="shared" si="8"/>
        <v/>
      </c>
      <c r="T89" s="445"/>
      <c r="U89" s="446" t="str">
        <f t="shared" si="9"/>
        <v/>
      </c>
      <c r="V89" s="446"/>
      <c r="W89" s="31"/>
      <c r="X89" s="31" t="e">
        <f t="shared" si="2"/>
        <v>#VALUE!</v>
      </c>
      <c r="Y89" s="32" t="str">
        <f t="shared" si="3"/>
        <v/>
      </c>
      <c r="Z89" s="8"/>
      <c r="AA89" s="8"/>
      <c r="AB89" s="8"/>
      <c r="AC89" s="8"/>
      <c r="AD89" s="8"/>
      <c r="AW89" s="27"/>
      <c r="AX89" s="27"/>
      <c r="AY89" s="27"/>
      <c r="AZ89" s="27"/>
      <c r="BA89" s="27"/>
      <c r="BB89" s="27"/>
      <c r="BC89" s="27"/>
      <c r="BD89" s="27"/>
      <c r="BE89" s="27"/>
      <c r="BF89" s="28"/>
      <c r="BG89" s="28"/>
      <c r="BH89" s="28"/>
    </row>
    <row r="90" spans="1:60" ht="20.25">
      <c r="A90" s="54"/>
      <c r="B90" s="86" t="str">
        <f t="shared" si="4"/>
        <v/>
      </c>
      <c r="C90" s="106" t="str">
        <f t="shared" si="0"/>
        <v/>
      </c>
      <c r="D90" s="87" t="str">
        <f t="shared" si="1"/>
        <v/>
      </c>
      <c r="E90" s="96"/>
      <c r="F90" s="85"/>
      <c r="G90" s="85"/>
      <c r="H90" s="56"/>
      <c r="I90" s="85"/>
      <c r="J90" s="15"/>
      <c r="K90" s="15"/>
      <c r="L90" s="15"/>
      <c r="M90" s="15"/>
      <c r="N90" s="15"/>
      <c r="O90" s="15"/>
      <c r="P90" s="15"/>
      <c r="Q90" s="15"/>
      <c r="R90" s="30"/>
      <c r="S90" s="445" t="str">
        <f t="shared" si="8"/>
        <v/>
      </c>
      <c r="T90" s="445"/>
      <c r="U90" s="446" t="str">
        <f t="shared" si="9"/>
        <v/>
      </c>
      <c r="V90" s="446"/>
      <c r="W90" s="31"/>
      <c r="X90" s="31" t="e">
        <f t="shared" si="2"/>
        <v>#VALUE!</v>
      </c>
      <c r="Y90" s="32" t="str">
        <f t="shared" si="3"/>
        <v/>
      </c>
      <c r="Z90" s="8"/>
      <c r="AA90" s="8"/>
      <c r="AB90" s="8"/>
      <c r="AC90" s="8"/>
      <c r="AD90" s="8"/>
      <c r="AW90" s="27"/>
      <c r="AX90" s="27"/>
      <c r="AY90" s="27"/>
      <c r="AZ90" s="27"/>
      <c r="BA90" s="27"/>
      <c r="BB90" s="27"/>
      <c r="BC90" s="27"/>
      <c r="BD90" s="27"/>
      <c r="BE90" s="27"/>
      <c r="BF90" s="28"/>
      <c r="BG90" s="28"/>
      <c r="BH90" s="28"/>
    </row>
    <row r="91" spans="1:60" ht="20.25">
      <c r="A91" s="54"/>
      <c r="B91" s="86" t="str">
        <f t="shared" si="4"/>
        <v/>
      </c>
      <c r="C91" s="106" t="str">
        <f t="shared" si="0"/>
        <v/>
      </c>
      <c r="D91" s="87" t="str">
        <f t="shared" si="1"/>
        <v/>
      </c>
      <c r="E91" s="96"/>
      <c r="F91" s="85"/>
      <c r="G91" s="85"/>
      <c r="H91" s="56"/>
      <c r="I91" s="85"/>
      <c r="J91" s="15"/>
      <c r="K91" s="15"/>
      <c r="L91" s="15"/>
      <c r="M91" s="15"/>
      <c r="N91" s="15"/>
      <c r="O91" s="15"/>
      <c r="P91" s="15"/>
      <c r="Q91" s="15"/>
      <c r="R91" s="30"/>
      <c r="S91" s="445" t="str">
        <f t="shared" si="8"/>
        <v/>
      </c>
      <c r="T91" s="445"/>
      <c r="U91" s="446" t="str">
        <f>IF(NOT(B91=AA77),D91-T91,"")</f>
        <v/>
      </c>
      <c r="V91" s="446"/>
      <c r="W91" s="31"/>
      <c r="X91" s="31" t="e">
        <f t="shared" si="2"/>
        <v>#VALUE!</v>
      </c>
      <c r="Y91" s="32" t="str">
        <f t="shared" si="3"/>
        <v/>
      </c>
      <c r="Z91" s="8"/>
      <c r="AA91" s="8"/>
      <c r="AB91" s="8"/>
      <c r="AC91" s="8"/>
      <c r="AD91" s="8"/>
      <c r="AW91" s="27"/>
      <c r="AX91" s="27"/>
      <c r="AY91" s="27"/>
      <c r="AZ91" s="27"/>
      <c r="BA91" s="27"/>
      <c r="BB91" s="27"/>
      <c r="BC91" s="27"/>
      <c r="BD91" s="27"/>
      <c r="BE91" s="27"/>
      <c r="BF91" s="28"/>
      <c r="BG91" s="28"/>
      <c r="BH91" s="28"/>
    </row>
    <row r="92" spans="1:60" ht="20.25">
      <c r="A92" s="54"/>
      <c r="B92" s="98">
        <f>G12</f>
        <v>8</v>
      </c>
      <c r="C92" s="98"/>
      <c r="D92" s="99">
        <f>F42</f>
        <v>100706.71</v>
      </c>
      <c r="E92" s="100"/>
      <c r="F92" s="92"/>
      <c r="G92" s="92"/>
      <c r="H92" s="101"/>
      <c r="I92" s="85"/>
      <c r="J92" s="15"/>
      <c r="K92" s="15"/>
      <c r="L92" s="15"/>
      <c r="M92" s="15"/>
      <c r="N92" s="15"/>
      <c r="O92" s="15"/>
      <c r="P92" s="15"/>
      <c r="Q92" s="15"/>
      <c r="R92" s="30"/>
      <c r="S92" s="445"/>
      <c r="T92" s="445"/>
      <c r="U92" s="446"/>
      <c r="V92" s="446"/>
      <c r="W92" s="26"/>
      <c r="X92" s="31"/>
      <c r="Y92" s="32"/>
      <c r="Z92" s="8"/>
      <c r="AA92" s="8"/>
      <c r="AB92" s="8"/>
      <c r="AC92" s="8"/>
      <c r="AD92" s="8"/>
      <c r="AW92" s="27"/>
      <c r="AX92" s="27"/>
      <c r="AY92" s="27"/>
      <c r="AZ92" s="27"/>
      <c r="BA92" s="27"/>
      <c r="BB92" s="27"/>
      <c r="BC92" s="27"/>
      <c r="BD92" s="27"/>
      <c r="BE92" s="27"/>
      <c r="BF92" s="28"/>
      <c r="BG92" s="28"/>
      <c r="BH92" s="28"/>
    </row>
    <row r="93" spans="1:60" ht="6.75" customHeight="1">
      <c r="A93" s="8"/>
      <c r="B93" s="8"/>
      <c r="C93" s="8"/>
      <c r="D93" s="8"/>
      <c r="E93" s="8"/>
      <c r="F93" s="34"/>
      <c r="G93" s="8"/>
      <c r="H93" s="34"/>
      <c r="I93" s="8"/>
      <c r="J93" s="8"/>
      <c r="K93" s="8"/>
      <c r="L93" s="8"/>
      <c r="M93" s="8"/>
      <c r="N93" s="8"/>
      <c r="O93" s="8"/>
      <c r="P93" s="8"/>
      <c r="Q93" s="8"/>
      <c r="R93" s="8"/>
    </row>
    <row r="94" spans="1:60" ht="17.25">
      <c r="A94" s="8"/>
      <c r="B94" s="24" t="s">
        <v>45</v>
      </c>
      <c r="C94" s="8"/>
      <c r="D94" s="8"/>
      <c r="E94" s="8"/>
      <c r="F94" s="8"/>
      <c r="G94" s="438"/>
      <c r="H94" s="438"/>
      <c r="I94" s="8"/>
      <c r="J94" s="8"/>
      <c r="K94" s="8"/>
      <c r="L94" s="8"/>
      <c r="M94" s="8"/>
      <c r="N94" s="8"/>
      <c r="O94" s="8"/>
      <c r="P94" s="8"/>
      <c r="Q94" s="8"/>
      <c r="R94" s="8"/>
    </row>
    <row r="95" spans="1:60" ht="51" customHeight="1">
      <c r="A95" s="8"/>
      <c r="C95" s="8"/>
      <c r="D95" s="8"/>
      <c r="E95" s="8"/>
      <c r="F95" s="436"/>
      <c r="G95" s="436"/>
      <c r="H95" s="436"/>
      <c r="I95" s="8"/>
      <c r="J95" s="8"/>
      <c r="K95" s="8"/>
      <c r="L95" s="8"/>
      <c r="N95" s="8"/>
      <c r="O95" s="8"/>
      <c r="P95" s="8"/>
      <c r="Q95" s="8"/>
      <c r="R95" s="8"/>
    </row>
    <row r="96" spans="1:60" ht="17.25">
      <c r="A96" s="8"/>
      <c r="B96" s="8"/>
      <c r="C96" s="8"/>
      <c r="D96" s="8"/>
      <c r="E96" s="8"/>
      <c r="F96" s="8"/>
      <c r="G96" s="8"/>
      <c r="I96" s="8"/>
      <c r="J96" s="8"/>
      <c r="K96" s="8"/>
      <c r="L96" s="8"/>
      <c r="M96" s="8"/>
      <c r="N96" s="8"/>
      <c r="O96" s="8"/>
      <c r="P96" s="8"/>
      <c r="Q96" s="8"/>
      <c r="R96" s="8"/>
    </row>
    <row r="97" spans="1:18" ht="17.25">
      <c r="A97" s="8"/>
      <c r="C97" s="8"/>
      <c r="D97" s="8"/>
      <c r="E97" s="8"/>
      <c r="F97" s="8"/>
      <c r="G97" s="8"/>
      <c r="H97" s="8"/>
      <c r="I97" s="8"/>
      <c r="J97" s="8"/>
      <c r="K97" s="8"/>
      <c r="L97" s="8"/>
      <c r="M97" s="8"/>
      <c r="N97" s="8"/>
      <c r="O97" s="8"/>
      <c r="P97" s="8"/>
      <c r="Q97" s="8"/>
      <c r="R97" s="8"/>
    </row>
    <row r="98" spans="1:18" ht="17.25">
      <c r="A98" s="10"/>
      <c r="B98" s="10"/>
      <c r="C98" s="10"/>
      <c r="D98" s="10"/>
      <c r="E98" s="10"/>
      <c r="F98" s="10"/>
      <c r="G98" s="10"/>
      <c r="H98" s="10"/>
      <c r="I98" s="10"/>
      <c r="J98" s="10"/>
      <c r="K98" s="8"/>
      <c r="L98" s="8"/>
      <c r="M98" s="8"/>
      <c r="N98" s="8"/>
      <c r="O98" s="8"/>
      <c r="P98" s="8"/>
      <c r="Q98" s="8"/>
      <c r="R98" s="8"/>
    </row>
    <row r="99" spans="1:18" ht="12.75" customHeight="1">
      <c r="A99" s="10"/>
      <c r="C99" s="10"/>
      <c r="D99" s="10"/>
      <c r="E99" s="10"/>
      <c r="F99" s="10"/>
      <c r="G99" s="10"/>
      <c r="H99" s="10"/>
      <c r="I99" s="10"/>
      <c r="J99" s="10"/>
    </row>
    <row r="100" spans="1:18" ht="7.5" customHeight="1">
      <c r="A100" s="10"/>
      <c r="C100" s="10"/>
      <c r="D100" s="10"/>
      <c r="E100" s="10"/>
      <c r="F100" s="10"/>
      <c r="G100" s="10"/>
      <c r="H100" s="10"/>
      <c r="I100" s="10"/>
      <c r="J100" s="10"/>
    </row>
    <row r="101" spans="1:18" ht="12.75" hidden="1" customHeight="1">
      <c r="A101" s="10"/>
      <c r="B101" s="10"/>
      <c r="C101" s="10"/>
      <c r="D101" s="10"/>
      <c r="E101" s="10"/>
      <c r="F101" s="10"/>
      <c r="G101" s="10"/>
      <c r="H101" s="10"/>
      <c r="I101" s="10"/>
      <c r="J101" s="10"/>
    </row>
    <row r="102" spans="1:18" ht="12.75" hidden="1" customHeight="1">
      <c r="A102" s="10"/>
      <c r="B102" s="10"/>
      <c r="C102" s="10"/>
      <c r="D102" s="10"/>
      <c r="E102" s="10"/>
      <c r="F102" s="10"/>
      <c r="G102" s="10"/>
      <c r="H102" s="10"/>
      <c r="I102" s="10"/>
      <c r="J102" s="10"/>
    </row>
    <row r="103" spans="1:18" ht="17.25">
      <c r="M103" s="10"/>
    </row>
    <row r="109" spans="1:18" ht="17.25">
      <c r="M109" s="10"/>
    </row>
  </sheetData>
  <sheetProtection password="CC45" sheet="1" objects="1" scenarios="1" insertColumns="0" insertRows="0" selectLockedCells="1"/>
  <mergeCells count="119">
    <mergeCell ref="C9:D11"/>
    <mergeCell ref="B42:C42"/>
    <mergeCell ref="D42:E42"/>
    <mergeCell ref="F42:H42"/>
    <mergeCell ref="F41:H41"/>
    <mergeCell ref="A9:B10"/>
    <mergeCell ref="A11:B13"/>
    <mergeCell ref="G55:H55"/>
    <mergeCell ref="A2:I2"/>
    <mergeCell ref="A4:I4"/>
    <mergeCell ref="A5:I5"/>
    <mergeCell ref="A6:I6"/>
    <mergeCell ref="A7:I7"/>
    <mergeCell ref="A8:B8"/>
    <mergeCell ref="A14:I14"/>
    <mergeCell ref="A39:I39"/>
    <mergeCell ref="E8:F8"/>
    <mergeCell ref="S43:T43"/>
    <mergeCell ref="U43:V43"/>
    <mergeCell ref="S44:T44"/>
    <mergeCell ref="U44:V44"/>
    <mergeCell ref="S45:T45"/>
    <mergeCell ref="U45:V45"/>
    <mergeCell ref="S46:T46"/>
    <mergeCell ref="U46:V46"/>
    <mergeCell ref="S47:T47"/>
    <mergeCell ref="U47:V47"/>
    <mergeCell ref="S48:T48"/>
    <mergeCell ref="U48:V48"/>
    <mergeCell ref="S49:T49"/>
    <mergeCell ref="U49:V49"/>
    <mergeCell ref="S50:T50"/>
    <mergeCell ref="U50:V50"/>
    <mergeCell ref="S51:T51"/>
    <mergeCell ref="U51:V51"/>
    <mergeCell ref="S52:T52"/>
    <mergeCell ref="U52:V52"/>
    <mergeCell ref="S53:T53"/>
    <mergeCell ref="U53:V53"/>
    <mergeCell ref="S54:T54"/>
    <mergeCell ref="U54:V54"/>
    <mergeCell ref="S55:T55"/>
    <mergeCell ref="U55:V55"/>
    <mergeCell ref="S56:T56"/>
    <mergeCell ref="U56:V56"/>
    <mergeCell ref="S57:T57"/>
    <mergeCell ref="U57:V57"/>
    <mergeCell ref="S58:T58"/>
    <mergeCell ref="U58:V58"/>
    <mergeCell ref="S59:T59"/>
    <mergeCell ref="U59:V59"/>
    <mergeCell ref="S60:T60"/>
    <mergeCell ref="U60:V60"/>
    <mergeCell ref="S61:T61"/>
    <mergeCell ref="U61:V61"/>
    <mergeCell ref="S62:T62"/>
    <mergeCell ref="U62:V62"/>
    <mergeCell ref="S63:T63"/>
    <mergeCell ref="U63:V63"/>
    <mergeCell ref="S64:T64"/>
    <mergeCell ref="U64:V64"/>
    <mergeCell ref="S65:T65"/>
    <mergeCell ref="U65:V65"/>
    <mergeCell ref="S66:T66"/>
    <mergeCell ref="U66:V66"/>
    <mergeCell ref="S92:T92"/>
    <mergeCell ref="U92:V92"/>
    <mergeCell ref="U76:V76"/>
    <mergeCell ref="U77:V77"/>
    <mergeCell ref="U78:V78"/>
    <mergeCell ref="U79:V79"/>
    <mergeCell ref="U86:V86"/>
    <mergeCell ref="U87:V87"/>
    <mergeCell ref="U88:V88"/>
    <mergeCell ref="U89:V89"/>
    <mergeCell ref="U74:V74"/>
    <mergeCell ref="U75:V75"/>
    <mergeCell ref="S67:T67"/>
    <mergeCell ref="U67:V67"/>
    <mergeCell ref="S91:T91"/>
    <mergeCell ref="U91:V91"/>
    <mergeCell ref="S68:T68"/>
    <mergeCell ref="G94:H94"/>
    <mergeCell ref="F95:H95"/>
    <mergeCell ref="U68:V68"/>
    <mergeCell ref="U69:V69"/>
    <mergeCell ref="U70:V70"/>
    <mergeCell ref="U71:V71"/>
    <mergeCell ref="U72:V72"/>
    <mergeCell ref="U73:V73"/>
    <mergeCell ref="S88:T88"/>
    <mergeCell ref="S89:T89"/>
    <mergeCell ref="S69:T69"/>
    <mergeCell ref="S70:T70"/>
    <mergeCell ref="S71:T71"/>
    <mergeCell ref="S72:T72"/>
    <mergeCell ref="U80:V80"/>
    <mergeCell ref="U81:V81"/>
    <mergeCell ref="S77:T77"/>
    <mergeCell ref="S78:T78"/>
    <mergeCell ref="S73:T73"/>
    <mergeCell ref="S74:T74"/>
    <mergeCell ref="U84:V84"/>
    <mergeCell ref="U85:V85"/>
    <mergeCell ref="S84:T84"/>
    <mergeCell ref="U82:V82"/>
    <mergeCell ref="U83:V83"/>
    <mergeCell ref="U90:V90"/>
    <mergeCell ref="S85:T85"/>
    <mergeCell ref="S86:T86"/>
    <mergeCell ref="S87:T87"/>
    <mergeCell ref="S75:T75"/>
    <mergeCell ref="S76:T76"/>
    <mergeCell ref="S90:T90"/>
    <mergeCell ref="S79:T79"/>
    <mergeCell ref="S80:T80"/>
    <mergeCell ref="S81:T81"/>
    <mergeCell ref="S82:T82"/>
    <mergeCell ref="S83:T83"/>
  </mergeCells>
  <printOptions horizontalCentered="1"/>
  <pageMargins left="0.34" right="0.56999999999999995" top="0.12" bottom="0.55000000000000004" header="0.12" footer="0.5"/>
  <pageSetup paperSize="5" scale="54" orientation="portrait" horizontalDpi="120" verticalDpi="7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0]!Button2_Click">
                <anchor moveWithCells="1" sizeWithCells="1">
                  <from>
                    <xdr:col>9</xdr:col>
                    <xdr:colOff>619125</xdr:colOff>
                    <xdr:row>1</xdr:row>
                    <xdr:rowOff>180975</xdr:rowOff>
                  </from>
                  <to>
                    <xdr:col>9</xdr:col>
                    <xdr:colOff>2143125</xdr:colOff>
                    <xdr:row>5</xdr:row>
                    <xdr:rowOff>66675</xdr:rowOff>
                  </to>
                </anchor>
              </controlPr>
            </control>
          </mc:Choice>
        </mc:AlternateContent>
        <mc:AlternateContent xmlns:mc="http://schemas.openxmlformats.org/markup-compatibility/2006">
          <mc:Choice Requires="x14">
            <control shapeId="15362" r:id="rId5" name="Button 2">
              <controlPr defaultSize="0" print="0" autoFill="0" autoPict="0" macro="[0]!Button97_Click">
                <anchor moveWithCells="1" sizeWithCells="1">
                  <from>
                    <xdr:col>9</xdr:col>
                    <xdr:colOff>590550</xdr:colOff>
                    <xdr:row>5</xdr:row>
                    <xdr:rowOff>142875</xdr:rowOff>
                  </from>
                  <to>
                    <xdr:col>9</xdr:col>
                    <xdr:colOff>2143125</xdr:colOff>
                    <xdr:row>7</xdr:row>
                    <xdr:rowOff>85725</xdr:rowOff>
                  </to>
                </anchor>
              </controlPr>
            </control>
          </mc:Choice>
        </mc:AlternateContent>
        <mc:AlternateContent xmlns:mc="http://schemas.openxmlformats.org/markup-compatibility/2006">
          <mc:Choice Requires="x14">
            <control shapeId="15363" r:id="rId6" name="Button 3">
              <controlPr defaultSize="0" print="0" autoFill="0" autoPict="0" macro="[0]!saveas">
                <anchor moveWithCells="1">
                  <from>
                    <xdr:col>9</xdr:col>
                    <xdr:colOff>619125</xdr:colOff>
                    <xdr:row>7</xdr:row>
                    <xdr:rowOff>180975</xdr:rowOff>
                  </from>
                  <to>
                    <xdr:col>9</xdr:col>
                    <xdr:colOff>2133600</xdr:colOff>
                    <xdr:row>9</xdr:row>
                    <xdr:rowOff>266700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I99"/>
  <sheetViews>
    <sheetView workbookViewId="0">
      <selection activeCell="I1" sqref="I1"/>
    </sheetView>
  </sheetViews>
  <sheetFormatPr defaultRowHeight="12.75"/>
  <sheetData>
    <row r="1" spans="1:9">
      <c r="A1">
        <v>1</v>
      </c>
      <c r="B1">
        <f>'Semi Monthly 3 SL'!G13</f>
        <v>12</v>
      </c>
      <c r="I1" s="1" t="s">
        <v>89</v>
      </c>
    </row>
    <row r="2" spans="1:9">
      <c r="A2">
        <v>2</v>
      </c>
      <c r="B2">
        <f>B1-1</f>
        <v>11</v>
      </c>
    </row>
    <row r="3" spans="1:9">
      <c r="A3">
        <v>3</v>
      </c>
      <c r="B3">
        <f t="shared" ref="B3:B29" si="0">B2-1</f>
        <v>10</v>
      </c>
    </row>
    <row r="4" spans="1:9">
      <c r="A4">
        <v>4</v>
      </c>
      <c r="B4">
        <f t="shared" si="0"/>
        <v>9</v>
      </c>
    </row>
    <row r="5" spans="1:9">
      <c r="A5">
        <v>5</v>
      </c>
      <c r="B5">
        <f t="shared" si="0"/>
        <v>8</v>
      </c>
    </row>
    <row r="6" spans="1:9">
      <c r="A6">
        <v>6</v>
      </c>
      <c r="B6">
        <f t="shared" si="0"/>
        <v>7</v>
      </c>
    </row>
    <row r="7" spans="1:9">
      <c r="A7">
        <v>7</v>
      </c>
      <c r="B7">
        <f t="shared" si="0"/>
        <v>6</v>
      </c>
    </row>
    <row r="8" spans="1:9">
      <c r="A8">
        <v>8</v>
      </c>
      <c r="B8">
        <f t="shared" si="0"/>
        <v>5</v>
      </c>
    </row>
    <row r="9" spans="1:9">
      <c r="A9">
        <v>9</v>
      </c>
      <c r="B9">
        <f t="shared" si="0"/>
        <v>4</v>
      </c>
    </row>
    <row r="10" spans="1:9">
      <c r="A10">
        <v>10</v>
      </c>
      <c r="B10">
        <f t="shared" si="0"/>
        <v>3</v>
      </c>
    </row>
    <row r="11" spans="1:9">
      <c r="A11">
        <v>11</v>
      </c>
      <c r="B11">
        <f t="shared" si="0"/>
        <v>2</v>
      </c>
    </row>
    <row r="12" spans="1:9">
      <c r="A12">
        <v>12</v>
      </c>
      <c r="B12">
        <f t="shared" si="0"/>
        <v>1</v>
      </c>
    </row>
    <row r="13" spans="1:9">
      <c r="A13">
        <v>13</v>
      </c>
      <c r="B13">
        <f t="shared" si="0"/>
        <v>0</v>
      </c>
    </row>
    <row r="14" spans="1:9">
      <c r="A14">
        <v>14</v>
      </c>
      <c r="B14">
        <f t="shared" si="0"/>
        <v>-1</v>
      </c>
    </row>
    <row r="15" spans="1:9">
      <c r="A15">
        <v>15</v>
      </c>
      <c r="B15">
        <f t="shared" si="0"/>
        <v>-2</v>
      </c>
    </row>
    <row r="16" spans="1:9">
      <c r="A16">
        <v>16</v>
      </c>
      <c r="B16">
        <f t="shared" si="0"/>
        <v>-3</v>
      </c>
    </row>
    <row r="17" spans="1:2">
      <c r="A17">
        <v>17</v>
      </c>
      <c r="B17">
        <f t="shared" si="0"/>
        <v>-4</v>
      </c>
    </row>
    <row r="18" spans="1:2">
      <c r="A18">
        <v>18</v>
      </c>
      <c r="B18">
        <f t="shared" si="0"/>
        <v>-5</v>
      </c>
    </row>
    <row r="19" spans="1:2">
      <c r="A19">
        <v>19</v>
      </c>
      <c r="B19">
        <f t="shared" si="0"/>
        <v>-6</v>
      </c>
    </row>
    <row r="20" spans="1:2">
      <c r="A20">
        <v>20</v>
      </c>
      <c r="B20">
        <f t="shared" si="0"/>
        <v>-7</v>
      </c>
    </row>
    <row r="21" spans="1:2">
      <c r="A21">
        <v>21</v>
      </c>
      <c r="B21">
        <f t="shared" si="0"/>
        <v>-8</v>
      </c>
    </row>
    <row r="22" spans="1:2">
      <c r="A22">
        <v>22</v>
      </c>
      <c r="B22">
        <f t="shared" si="0"/>
        <v>-9</v>
      </c>
    </row>
    <row r="23" spans="1:2">
      <c r="A23">
        <v>23</v>
      </c>
      <c r="B23">
        <f t="shared" si="0"/>
        <v>-10</v>
      </c>
    </row>
    <row r="24" spans="1:2">
      <c r="A24">
        <v>24</v>
      </c>
      <c r="B24">
        <f t="shared" si="0"/>
        <v>-11</v>
      </c>
    </row>
    <row r="25" spans="1:2">
      <c r="A25">
        <v>25</v>
      </c>
      <c r="B25">
        <f t="shared" si="0"/>
        <v>-12</v>
      </c>
    </row>
    <row r="26" spans="1:2">
      <c r="A26">
        <v>26</v>
      </c>
      <c r="B26">
        <f>B25-1</f>
        <v>-13</v>
      </c>
    </row>
    <row r="27" spans="1:2">
      <c r="A27">
        <v>27</v>
      </c>
      <c r="B27">
        <f t="shared" si="0"/>
        <v>-14</v>
      </c>
    </row>
    <row r="28" spans="1:2">
      <c r="A28">
        <v>28</v>
      </c>
      <c r="B28">
        <f t="shared" si="0"/>
        <v>-15</v>
      </c>
    </row>
    <row r="29" spans="1:2">
      <c r="A29">
        <v>29</v>
      </c>
      <c r="B29">
        <f t="shared" si="0"/>
        <v>-16</v>
      </c>
    </row>
    <row r="30" spans="1:2">
      <c r="A30">
        <v>30</v>
      </c>
    </row>
    <row r="31" spans="1:2">
      <c r="A31">
        <v>31</v>
      </c>
    </row>
    <row r="32" spans="1:2">
      <c r="A32">
        <v>32</v>
      </c>
    </row>
    <row r="33" spans="1:1">
      <c r="A33">
        <v>33</v>
      </c>
    </row>
    <row r="34" spans="1:1">
      <c r="A34">
        <v>34</v>
      </c>
    </row>
    <row r="35" spans="1:1">
      <c r="A35">
        <v>35</v>
      </c>
    </row>
    <row r="36" spans="1:1">
      <c r="A36">
        <v>36</v>
      </c>
    </row>
    <row r="37" spans="1:1">
      <c r="A37">
        <v>37</v>
      </c>
    </row>
    <row r="38" spans="1:1">
      <c r="A38">
        <v>38</v>
      </c>
    </row>
    <row r="39" spans="1:1">
      <c r="A39">
        <v>39</v>
      </c>
    </row>
    <row r="40" spans="1:1">
      <c r="A40">
        <v>40</v>
      </c>
    </row>
    <row r="41" spans="1:1">
      <c r="A41">
        <v>41</v>
      </c>
    </row>
    <row r="42" spans="1:1">
      <c r="A42">
        <v>42</v>
      </c>
    </row>
    <row r="43" spans="1:1">
      <c r="A43">
        <v>43</v>
      </c>
    </row>
    <row r="44" spans="1:1">
      <c r="A44">
        <v>44</v>
      </c>
    </row>
    <row r="45" spans="1:1">
      <c r="A45">
        <v>45</v>
      </c>
    </row>
    <row r="46" spans="1:1">
      <c r="A46">
        <v>46</v>
      </c>
    </row>
    <row r="47" spans="1:1">
      <c r="A47">
        <v>47</v>
      </c>
    </row>
    <row r="48" spans="1:1">
      <c r="A48">
        <v>48</v>
      </c>
    </row>
    <row r="49" spans="1:1">
      <c r="A49">
        <v>49</v>
      </c>
    </row>
    <row r="50" spans="1:1">
      <c r="A50">
        <v>50</v>
      </c>
    </row>
    <row r="51" spans="1:1">
      <c r="A51">
        <v>51</v>
      </c>
    </row>
    <row r="52" spans="1:1">
      <c r="A52">
        <v>52</v>
      </c>
    </row>
    <row r="53" spans="1:1">
      <c r="A53">
        <v>53</v>
      </c>
    </row>
    <row r="54" spans="1:1">
      <c r="A54">
        <v>54</v>
      </c>
    </row>
    <row r="55" spans="1:1">
      <c r="A55">
        <v>55</v>
      </c>
    </row>
    <row r="56" spans="1:1">
      <c r="A56">
        <v>56</v>
      </c>
    </row>
    <row r="57" spans="1:1">
      <c r="A57">
        <v>57</v>
      </c>
    </row>
    <row r="58" spans="1:1">
      <c r="A58">
        <v>58</v>
      </c>
    </row>
    <row r="59" spans="1:1">
      <c r="A59">
        <v>59</v>
      </c>
    </row>
    <row r="60" spans="1:1">
      <c r="A60">
        <v>60</v>
      </c>
    </row>
    <row r="61" spans="1:1">
      <c r="A61">
        <v>61</v>
      </c>
    </row>
    <row r="62" spans="1:1">
      <c r="A62">
        <v>62</v>
      </c>
    </row>
    <row r="63" spans="1:1">
      <c r="A63">
        <v>63</v>
      </c>
    </row>
    <row r="64" spans="1:1">
      <c r="A64">
        <v>64</v>
      </c>
    </row>
    <row r="65" spans="1:1">
      <c r="A65">
        <v>65</v>
      </c>
    </row>
    <row r="66" spans="1:1">
      <c r="A66">
        <v>66</v>
      </c>
    </row>
    <row r="67" spans="1:1">
      <c r="A67">
        <v>67</v>
      </c>
    </row>
    <row r="68" spans="1:1">
      <c r="A68">
        <v>68</v>
      </c>
    </row>
    <row r="69" spans="1:1">
      <c r="A69">
        <v>69</v>
      </c>
    </row>
    <row r="70" spans="1:1">
      <c r="A70">
        <v>70</v>
      </c>
    </row>
    <row r="71" spans="1:1">
      <c r="A71">
        <v>71</v>
      </c>
    </row>
    <row r="72" spans="1:1">
      <c r="A72">
        <v>72</v>
      </c>
    </row>
    <row r="73" spans="1:1">
      <c r="A73">
        <v>73</v>
      </c>
    </row>
    <row r="74" spans="1:1">
      <c r="A74">
        <v>74</v>
      </c>
    </row>
    <row r="75" spans="1:1">
      <c r="A75">
        <v>75</v>
      </c>
    </row>
    <row r="76" spans="1:1">
      <c r="A76">
        <v>76</v>
      </c>
    </row>
    <row r="77" spans="1:1">
      <c r="A77">
        <v>77</v>
      </c>
    </row>
    <row r="78" spans="1:1">
      <c r="A78">
        <v>78</v>
      </c>
    </row>
    <row r="79" spans="1:1">
      <c r="A79">
        <v>79</v>
      </c>
    </row>
    <row r="80" spans="1:1">
      <c r="A80">
        <v>80</v>
      </c>
    </row>
    <row r="81" spans="1:1">
      <c r="A81">
        <v>81</v>
      </c>
    </row>
    <row r="82" spans="1:1">
      <c r="A82">
        <v>82</v>
      </c>
    </row>
    <row r="83" spans="1:1">
      <c r="A83">
        <v>83</v>
      </c>
    </row>
    <row r="84" spans="1:1">
      <c r="A84">
        <v>84</v>
      </c>
    </row>
    <row r="85" spans="1:1">
      <c r="A85">
        <v>85</v>
      </c>
    </row>
    <row r="86" spans="1:1">
      <c r="A86">
        <v>86</v>
      </c>
    </row>
    <row r="87" spans="1:1">
      <c r="A87">
        <v>87</v>
      </c>
    </row>
    <row r="88" spans="1:1">
      <c r="A88">
        <v>88</v>
      </c>
    </row>
    <row r="89" spans="1:1">
      <c r="A89">
        <v>89</v>
      </c>
    </row>
    <row r="90" spans="1:1">
      <c r="A90">
        <v>90</v>
      </c>
    </row>
    <row r="91" spans="1:1">
      <c r="A91">
        <v>91</v>
      </c>
    </row>
    <row r="92" spans="1:1">
      <c r="A92">
        <v>92</v>
      </c>
    </row>
    <row r="93" spans="1:1">
      <c r="A93">
        <v>93</v>
      </c>
    </row>
    <row r="94" spans="1:1">
      <c r="A94">
        <v>94</v>
      </c>
    </row>
    <row r="95" spans="1:1">
      <c r="A95">
        <v>95</v>
      </c>
    </row>
    <row r="96" spans="1:1">
      <c r="A96">
        <v>96</v>
      </c>
    </row>
    <row r="97" spans="1:1">
      <c r="A97">
        <v>97</v>
      </c>
    </row>
    <row r="98" spans="1:1">
      <c r="A98">
        <v>98</v>
      </c>
    </row>
    <row r="99" spans="1:1">
      <c r="A99">
        <v>99</v>
      </c>
    </row>
  </sheetData>
  <phoneticPr fontId="3" type="noConversion"/>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5" tint="-0.249977111117893"/>
  </sheetPr>
  <dimension ref="A1:A31"/>
  <sheetViews>
    <sheetView workbookViewId="0">
      <selection activeCell="G61" sqref="G61:H61"/>
    </sheetView>
  </sheetViews>
  <sheetFormatPr defaultRowHeight="12.75"/>
  <cols>
    <col min="1" max="1" width="37.28515625" customWidth="1"/>
  </cols>
  <sheetData>
    <row r="1" spans="1:1">
      <c r="A1" s="325" t="s">
        <v>205</v>
      </c>
    </row>
    <row r="2" spans="1:1" ht="15">
      <c r="A2" s="2" t="s">
        <v>104</v>
      </c>
    </row>
    <row r="3" spans="1:1" ht="15">
      <c r="A3" s="2" t="s">
        <v>90</v>
      </c>
    </row>
    <row r="4" spans="1:1" ht="15">
      <c r="A4" s="2" t="s">
        <v>81</v>
      </c>
    </row>
    <row r="5" spans="1:1" ht="15">
      <c r="A5" s="2" t="s">
        <v>71</v>
      </c>
    </row>
    <row r="6" spans="1:1" ht="15">
      <c r="A6" s="2" t="s">
        <v>97</v>
      </c>
    </row>
    <row r="7" spans="1:1" ht="15">
      <c r="A7" s="2" t="s">
        <v>72</v>
      </c>
    </row>
    <row r="8" spans="1:1" ht="15">
      <c r="A8" s="2" t="s">
        <v>75</v>
      </c>
    </row>
    <row r="9" spans="1:1" ht="15">
      <c r="A9" s="2" t="s">
        <v>85</v>
      </c>
    </row>
    <row r="10" spans="1:1" ht="15">
      <c r="A10" s="2" t="s">
        <v>74</v>
      </c>
    </row>
    <row r="11" spans="1:1" ht="15">
      <c r="A11" s="2" t="s">
        <v>76</v>
      </c>
    </row>
    <row r="12" spans="1:1" ht="15">
      <c r="A12" s="2" t="s">
        <v>86</v>
      </c>
    </row>
    <row r="13" spans="1:1" ht="15">
      <c r="A13" s="2" t="s">
        <v>73</v>
      </c>
    </row>
    <row r="14" spans="1:1" ht="15">
      <c r="A14" s="2" t="s">
        <v>70</v>
      </c>
    </row>
    <row r="15" spans="1:1" ht="15">
      <c r="A15" s="2" t="s">
        <v>79</v>
      </c>
    </row>
    <row r="16" spans="1:1" ht="15">
      <c r="A16" s="2" t="s">
        <v>80</v>
      </c>
    </row>
    <row r="17" spans="1:1" ht="15">
      <c r="A17" s="2" t="s">
        <v>91</v>
      </c>
    </row>
    <row r="18" spans="1:1" ht="15">
      <c r="A18" s="2" t="s">
        <v>84</v>
      </c>
    </row>
    <row r="19" spans="1:1" ht="15">
      <c r="A19" s="2" t="s">
        <v>77</v>
      </c>
    </row>
    <row r="20" spans="1:1" ht="15">
      <c r="A20" s="2" t="s">
        <v>88</v>
      </c>
    </row>
    <row r="21" spans="1:1" ht="15">
      <c r="A21" s="2" t="s">
        <v>83</v>
      </c>
    </row>
    <row r="22" spans="1:1" ht="15">
      <c r="A22" s="2" t="s">
        <v>93</v>
      </c>
    </row>
    <row r="23" spans="1:1" ht="15">
      <c r="A23" s="2" t="s">
        <v>78</v>
      </c>
    </row>
    <row r="24" spans="1:1" ht="15">
      <c r="A24" s="2" t="s">
        <v>154</v>
      </c>
    </row>
    <row r="25" spans="1:1" ht="15">
      <c r="A25" s="2" t="s">
        <v>82</v>
      </c>
    </row>
    <row r="26" spans="1:1" ht="15">
      <c r="A26" s="2" t="s">
        <v>92</v>
      </c>
    </row>
    <row r="27" spans="1:1" ht="15">
      <c r="A27" s="2" t="s">
        <v>147</v>
      </c>
    </row>
    <row r="28" spans="1:1" ht="15">
      <c r="A28" s="2" t="s">
        <v>148</v>
      </c>
    </row>
    <row r="29" spans="1:1" ht="15">
      <c r="A29" s="2" t="s">
        <v>94</v>
      </c>
    </row>
    <row r="30" spans="1:1" ht="15">
      <c r="A30" s="2" t="s">
        <v>87</v>
      </c>
    </row>
    <row r="31" spans="1:1" ht="15">
      <c r="A31" s="35"/>
    </row>
  </sheetData>
  <sheetProtection formatCells="0" formatColumns="0" selectLockedCells="1" selectUnlockedCell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2"/>
  <sheetViews>
    <sheetView workbookViewId="0">
      <selection activeCell="I25" sqref="I25"/>
    </sheetView>
  </sheetViews>
  <sheetFormatPr defaultRowHeight="12.75"/>
  <sheetData>
    <row r="2" spans="1:1">
      <c r="A2" t="s">
        <v>146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R78"/>
  <sheetViews>
    <sheetView topLeftCell="F46" workbookViewId="0">
      <selection activeCell="G61" sqref="G61:H61"/>
    </sheetView>
  </sheetViews>
  <sheetFormatPr defaultRowHeight="12.75"/>
  <cols>
    <col min="1" max="1" width="16.28515625" customWidth="1"/>
    <col min="2" max="2" width="1.28515625" customWidth="1"/>
    <col min="3" max="3" width="9" bestFit="1" customWidth="1"/>
    <col min="4" max="4" width="12.28515625" customWidth="1"/>
    <col min="5" max="5" width="21.5703125" bestFit="1" customWidth="1"/>
    <col min="6" max="6" width="1.42578125" customWidth="1"/>
    <col min="7" max="7" width="10.5703125" bestFit="1" customWidth="1"/>
    <col min="8" max="8" width="10.5703125" customWidth="1"/>
    <col min="9" max="9" width="10.42578125" bestFit="1" customWidth="1"/>
    <col min="10" max="10" width="2.140625" customWidth="1"/>
    <col min="11" max="11" width="9.7109375" bestFit="1" customWidth="1"/>
    <col min="12" max="12" width="13" bestFit="1" customWidth="1"/>
    <col min="13" max="13" width="25.42578125" bestFit="1" customWidth="1"/>
    <col min="14" max="14" width="11" bestFit="1" customWidth="1"/>
    <col min="15" max="15" width="13" bestFit="1" customWidth="1"/>
    <col min="16" max="16" width="26.28515625" bestFit="1" customWidth="1"/>
    <col min="17" max="17" width="11" bestFit="1" customWidth="1"/>
    <col min="18" max="18" width="2.28515625" customWidth="1"/>
  </cols>
  <sheetData>
    <row r="1" spans="1:18" ht="23.25">
      <c r="A1" s="270" t="s">
        <v>171</v>
      </c>
      <c r="C1" s="452" t="s">
        <v>176</v>
      </c>
      <c r="D1" s="452"/>
      <c r="E1" s="453"/>
      <c r="K1" s="286" t="s">
        <v>180</v>
      </c>
      <c r="L1" s="286" t="s">
        <v>181</v>
      </c>
      <c r="M1" s="287" t="s">
        <v>182</v>
      </c>
      <c r="N1" s="288" t="s">
        <v>183</v>
      </c>
      <c r="R1" s="289"/>
    </row>
    <row r="2" spans="1:18" ht="23.25">
      <c r="A2" s="270" t="s">
        <v>172</v>
      </c>
      <c r="C2" s="272" t="s">
        <v>174</v>
      </c>
      <c r="D2" s="272" t="s">
        <v>179</v>
      </c>
      <c r="E2" s="272" t="s">
        <v>175</v>
      </c>
      <c r="G2" s="272" t="s">
        <v>177</v>
      </c>
      <c r="H2" s="272" t="s">
        <v>178</v>
      </c>
      <c r="I2" s="272" t="s">
        <v>173</v>
      </c>
      <c r="K2" s="290">
        <v>1</v>
      </c>
      <c r="L2" s="290">
        <v>3</v>
      </c>
      <c r="M2" s="291">
        <v>3</v>
      </c>
      <c r="N2" s="292">
        <f>M2*12</f>
        <v>36</v>
      </c>
      <c r="R2" s="289"/>
    </row>
    <row r="3" spans="1:18" ht="23.25">
      <c r="C3" s="273">
        <v>400</v>
      </c>
      <c r="D3" s="273">
        <v>500</v>
      </c>
      <c r="E3" s="273">
        <v>400</v>
      </c>
      <c r="G3" s="273">
        <v>1000</v>
      </c>
      <c r="H3" s="285">
        <v>0.02</v>
      </c>
      <c r="I3" s="273">
        <v>500</v>
      </c>
      <c r="K3" s="290">
        <v>2</v>
      </c>
      <c r="L3" s="290">
        <v>3</v>
      </c>
      <c r="M3" s="291">
        <v>3.98</v>
      </c>
      <c r="N3" s="292">
        <f t="shared" ref="N3:N13" si="0">M3*12</f>
        <v>47.76</v>
      </c>
      <c r="R3" s="289"/>
    </row>
    <row r="4" spans="1:18" ht="23.25">
      <c r="K4" s="290">
        <v>3</v>
      </c>
      <c r="L4" s="290">
        <v>3</v>
      </c>
      <c r="M4" s="291">
        <v>4.43</v>
      </c>
      <c r="N4" s="292">
        <f t="shared" si="0"/>
        <v>53.16</v>
      </c>
      <c r="R4" s="289"/>
    </row>
    <row r="5" spans="1:18" ht="23.25">
      <c r="K5" s="290">
        <v>4</v>
      </c>
      <c r="L5" s="290">
        <v>3</v>
      </c>
      <c r="M5" s="291">
        <v>4.7</v>
      </c>
      <c r="N5" s="292">
        <f t="shared" si="0"/>
        <v>56.400000000000006</v>
      </c>
      <c r="R5" s="289"/>
    </row>
    <row r="6" spans="1:18" ht="23.25">
      <c r="K6" s="290">
        <v>5</v>
      </c>
      <c r="L6" s="290">
        <v>3</v>
      </c>
      <c r="M6" s="291">
        <v>4.8499999999999996</v>
      </c>
      <c r="N6" s="292">
        <f t="shared" si="0"/>
        <v>58.199999999999996</v>
      </c>
      <c r="R6" s="289"/>
    </row>
    <row r="7" spans="1:18" ht="23.25">
      <c r="K7" s="290">
        <v>6</v>
      </c>
      <c r="L7" s="290">
        <v>3</v>
      </c>
      <c r="M7" s="291">
        <v>4.95</v>
      </c>
      <c r="N7" s="292">
        <f t="shared" si="0"/>
        <v>59.400000000000006</v>
      </c>
      <c r="R7" s="289"/>
    </row>
    <row r="8" spans="1:18" ht="23.25">
      <c r="K8" s="290">
        <v>7</v>
      </c>
      <c r="L8" s="290">
        <v>3</v>
      </c>
      <c r="M8" s="291">
        <v>5.01</v>
      </c>
      <c r="N8" s="292">
        <f t="shared" si="0"/>
        <v>60.12</v>
      </c>
      <c r="R8" s="289"/>
    </row>
    <row r="9" spans="1:18" ht="23.25">
      <c r="K9" s="290">
        <v>8</v>
      </c>
      <c r="L9" s="290">
        <v>3</v>
      </c>
      <c r="M9" s="291">
        <v>5.05</v>
      </c>
      <c r="N9" s="292">
        <f t="shared" si="0"/>
        <v>60.599999999999994</v>
      </c>
      <c r="R9" s="289"/>
    </row>
    <row r="10" spans="1:18" ht="23.25">
      <c r="K10" s="290">
        <v>9</v>
      </c>
      <c r="L10" s="290">
        <v>3</v>
      </c>
      <c r="M10" s="291">
        <v>5.07</v>
      </c>
      <c r="N10" s="292">
        <f t="shared" si="0"/>
        <v>60.84</v>
      </c>
      <c r="R10" s="289"/>
    </row>
    <row r="11" spans="1:18" ht="23.25">
      <c r="K11" s="290">
        <v>10</v>
      </c>
      <c r="L11" s="290">
        <v>3</v>
      </c>
      <c r="M11" s="291">
        <v>5.08</v>
      </c>
      <c r="N11" s="292">
        <f t="shared" si="0"/>
        <v>60.96</v>
      </c>
      <c r="R11" s="289"/>
    </row>
    <row r="12" spans="1:18" ht="23.25">
      <c r="K12" s="290">
        <v>11</v>
      </c>
      <c r="L12" s="290">
        <v>3</v>
      </c>
      <c r="M12" s="291">
        <v>5.08</v>
      </c>
      <c r="N12" s="292">
        <f t="shared" si="0"/>
        <v>60.96</v>
      </c>
      <c r="R12" s="289"/>
    </row>
    <row r="13" spans="1:18" ht="23.25">
      <c r="K13" s="290">
        <v>12</v>
      </c>
      <c r="L13" s="290">
        <v>3</v>
      </c>
      <c r="M13" s="291">
        <v>5.08</v>
      </c>
      <c r="N13" s="292">
        <f t="shared" si="0"/>
        <v>60.96</v>
      </c>
      <c r="R13" s="289"/>
    </row>
    <row r="14" spans="1:18" ht="23.25">
      <c r="K14" s="289"/>
      <c r="L14" s="289"/>
      <c r="M14" s="298"/>
      <c r="N14" s="299"/>
      <c r="R14" s="289"/>
    </row>
    <row r="15" spans="1:18" ht="23.25">
      <c r="K15" s="290">
        <v>1</v>
      </c>
      <c r="L15" s="290">
        <v>3.5</v>
      </c>
      <c r="M15" s="291">
        <v>3.5</v>
      </c>
      <c r="N15" s="294">
        <f>M15*12</f>
        <v>42</v>
      </c>
      <c r="R15" s="289"/>
    </row>
    <row r="16" spans="1:18" ht="23.25">
      <c r="K16" s="290">
        <v>2</v>
      </c>
      <c r="L16" s="290">
        <v>3.5</v>
      </c>
      <c r="M16" s="291">
        <v>4.63</v>
      </c>
      <c r="N16" s="294">
        <f t="shared" ref="N16:N26" si="1">M16*12</f>
        <v>55.56</v>
      </c>
      <c r="R16" s="289"/>
    </row>
    <row r="17" spans="11:18" ht="23.25">
      <c r="K17" s="290">
        <v>3</v>
      </c>
      <c r="L17" s="290">
        <v>3.5</v>
      </c>
      <c r="M17" s="291">
        <v>5.17</v>
      </c>
      <c r="N17" s="294">
        <f t="shared" si="1"/>
        <v>62.04</v>
      </c>
      <c r="R17" s="289"/>
    </row>
    <row r="18" spans="11:18" ht="23.25">
      <c r="K18" s="290">
        <v>4</v>
      </c>
      <c r="L18" s="290">
        <v>3.5</v>
      </c>
      <c r="M18" s="291">
        <v>5.45</v>
      </c>
      <c r="N18" s="294">
        <f t="shared" si="1"/>
        <v>65.400000000000006</v>
      </c>
      <c r="R18" s="289"/>
    </row>
    <row r="19" spans="11:18" ht="23.25">
      <c r="K19" s="290">
        <v>5</v>
      </c>
      <c r="L19" s="290">
        <v>3.5</v>
      </c>
      <c r="M19" s="291">
        <v>5.63</v>
      </c>
      <c r="N19" s="294">
        <f t="shared" si="1"/>
        <v>67.56</v>
      </c>
      <c r="R19" s="289"/>
    </row>
    <row r="20" spans="11:18" ht="23.25">
      <c r="K20" s="290">
        <v>6</v>
      </c>
      <c r="L20" s="290">
        <v>3.5</v>
      </c>
      <c r="M20" s="291">
        <v>5.73</v>
      </c>
      <c r="N20" s="294">
        <f t="shared" si="1"/>
        <v>68.760000000000005</v>
      </c>
      <c r="R20" s="289"/>
    </row>
    <row r="21" spans="11:18" ht="23.25">
      <c r="K21" s="290">
        <v>7</v>
      </c>
      <c r="L21" s="290">
        <v>3.5</v>
      </c>
      <c r="M21" s="291">
        <v>5.8</v>
      </c>
      <c r="N21" s="294">
        <f t="shared" si="1"/>
        <v>69.599999999999994</v>
      </c>
      <c r="R21" s="289"/>
    </row>
    <row r="22" spans="11:18" ht="23.25">
      <c r="K22" s="290">
        <v>8</v>
      </c>
      <c r="L22" s="290">
        <v>3.5</v>
      </c>
      <c r="M22" s="291">
        <v>5.83</v>
      </c>
      <c r="N22" s="294">
        <f t="shared" si="1"/>
        <v>69.960000000000008</v>
      </c>
      <c r="R22" s="289"/>
    </row>
    <row r="23" spans="11:18" ht="23.25">
      <c r="K23" s="290">
        <v>9</v>
      </c>
      <c r="L23" s="290">
        <v>3.5</v>
      </c>
      <c r="M23" s="291">
        <v>5.86</v>
      </c>
      <c r="N23" s="294">
        <f t="shared" si="1"/>
        <v>70.320000000000007</v>
      </c>
      <c r="R23" s="289"/>
    </row>
    <row r="24" spans="11:18" ht="23.25">
      <c r="K24" s="290">
        <v>10</v>
      </c>
      <c r="L24" s="290">
        <v>3.5</v>
      </c>
      <c r="M24" s="291">
        <v>5.86</v>
      </c>
      <c r="N24" s="294">
        <f t="shared" si="1"/>
        <v>70.320000000000007</v>
      </c>
      <c r="R24" s="289"/>
    </row>
    <row r="25" spans="11:18" ht="23.25">
      <c r="K25" s="290">
        <v>11</v>
      </c>
      <c r="L25" s="290">
        <v>3.5</v>
      </c>
      <c r="M25" s="291">
        <v>5.86</v>
      </c>
      <c r="N25" s="294">
        <f t="shared" si="1"/>
        <v>70.320000000000007</v>
      </c>
      <c r="R25" s="289"/>
    </row>
    <row r="26" spans="11:18" ht="23.25">
      <c r="K26" s="290">
        <v>12</v>
      </c>
      <c r="L26" s="290">
        <v>3.5</v>
      </c>
      <c r="M26" s="291">
        <v>5.86</v>
      </c>
      <c r="N26" s="294">
        <f t="shared" si="1"/>
        <v>70.320000000000007</v>
      </c>
      <c r="R26" s="289"/>
    </row>
    <row r="27" spans="11:18" ht="23.25">
      <c r="K27" s="289"/>
      <c r="L27" s="289"/>
      <c r="M27" s="298"/>
      <c r="N27" s="299"/>
      <c r="R27" s="289"/>
    </row>
    <row r="28" spans="11:18" ht="23.25">
      <c r="K28" s="290">
        <v>1</v>
      </c>
      <c r="L28" s="290">
        <v>1.5</v>
      </c>
      <c r="M28" s="291">
        <v>1.5</v>
      </c>
      <c r="N28" s="296">
        <f>M28*12</f>
        <v>18</v>
      </c>
      <c r="R28" s="289"/>
    </row>
    <row r="29" spans="11:18" ht="23.25">
      <c r="K29" s="290">
        <v>2</v>
      </c>
      <c r="L29" s="290">
        <v>1.5</v>
      </c>
      <c r="M29" s="291">
        <v>2</v>
      </c>
      <c r="N29" s="296">
        <f t="shared" ref="N29:N39" si="2">M29*12</f>
        <v>24</v>
      </c>
      <c r="R29" s="289"/>
    </row>
    <row r="30" spans="11:18" ht="23.25">
      <c r="K30" s="290">
        <v>3</v>
      </c>
      <c r="L30" s="290">
        <v>1.5</v>
      </c>
      <c r="M30" s="291">
        <v>2.2400000000000002</v>
      </c>
      <c r="N30" s="296">
        <f t="shared" si="2"/>
        <v>26.880000000000003</v>
      </c>
      <c r="R30" s="289"/>
    </row>
    <row r="31" spans="11:18" ht="23.25">
      <c r="K31" s="290">
        <v>4</v>
      </c>
      <c r="L31" s="290">
        <v>1.5</v>
      </c>
      <c r="M31" s="291">
        <v>2.37</v>
      </c>
      <c r="N31" s="296">
        <f t="shared" si="2"/>
        <v>28.44</v>
      </c>
      <c r="R31" s="289"/>
    </row>
    <row r="32" spans="11:18" ht="23.25">
      <c r="K32" s="290">
        <v>5</v>
      </c>
      <c r="L32" s="290">
        <v>1.5</v>
      </c>
      <c r="M32" s="291">
        <v>2.46</v>
      </c>
      <c r="N32" s="296">
        <f t="shared" si="2"/>
        <v>29.52</v>
      </c>
      <c r="R32" s="289"/>
    </row>
    <row r="33" spans="11:18" ht="23.25">
      <c r="K33" s="290">
        <v>6</v>
      </c>
      <c r="L33" s="290">
        <v>1.5</v>
      </c>
      <c r="M33" s="291">
        <v>2.52</v>
      </c>
      <c r="N33" s="296">
        <f t="shared" si="2"/>
        <v>30.240000000000002</v>
      </c>
      <c r="R33" s="289"/>
    </row>
    <row r="34" spans="11:18" ht="23.25">
      <c r="K34" s="290">
        <v>7</v>
      </c>
      <c r="L34" s="290">
        <v>1.5</v>
      </c>
      <c r="M34" s="291">
        <v>2.56</v>
      </c>
      <c r="N34" s="296">
        <f t="shared" si="2"/>
        <v>30.72</v>
      </c>
      <c r="R34" s="289"/>
    </row>
    <row r="35" spans="11:18" ht="23.25">
      <c r="K35" s="290">
        <v>8</v>
      </c>
      <c r="L35" s="290">
        <v>1.5</v>
      </c>
      <c r="M35" s="291">
        <v>2.59</v>
      </c>
      <c r="N35" s="296">
        <f t="shared" si="2"/>
        <v>31.08</v>
      </c>
      <c r="R35" s="289"/>
    </row>
    <row r="36" spans="11:18" ht="23.25">
      <c r="K36" s="290">
        <v>9</v>
      </c>
      <c r="L36" s="290">
        <v>1.5</v>
      </c>
      <c r="M36" s="291">
        <v>2.61</v>
      </c>
      <c r="N36" s="296">
        <f t="shared" si="2"/>
        <v>31.32</v>
      </c>
      <c r="R36" s="289"/>
    </row>
    <row r="37" spans="11:18" ht="23.25">
      <c r="K37" s="290">
        <v>10</v>
      </c>
      <c r="L37" s="290">
        <v>1.5</v>
      </c>
      <c r="M37" s="291">
        <v>2.63</v>
      </c>
      <c r="N37" s="296">
        <f t="shared" si="2"/>
        <v>31.56</v>
      </c>
      <c r="R37" s="289"/>
    </row>
    <row r="38" spans="11:18" ht="23.25">
      <c r="K38" s="290">
        <v>11</v>
      </c>
      <c r="L38" s="290">
        <v>1.5</v>
      </c>
      <c r="M38" s="291">
        <v>2.63</v>
      </c>
      <c r="N38" s="296">
        <f t="shared" si="2"/>
        <v>31.56</v>
      </c>
      <c r="R38" s="289"/>
    </row>
    <row r="39" spans="11:18" ht="23.25">
      <c r="K39" s="290">
        <v>12</v>
      </c>
      <c r="L39" s="290">
        <v>1.5</v>
      </c>
      <c r="M39" s="291">
        <v>2.65</v>
      </c>
      <c r="N39" s="296">
        <f t="shared" si="2"/>
        <v>31.799999999999997</v>
      </c>
      <c r="R39" s="289"/>
    </row>
    <row r="40" spans="11:18" ht="18.75">
      <c r="K40" s="301"/>
      <c r="L40" s="301"/>
      <c r="M40" s="302"/>
      <c r="N40" s="303"/>
      <c r="O40" s="303"/>
      <c r="P40" s="302"/>
      <c r="Q40" s="303"/>
      <c r="R40" s="301"/>
    </row>
    <row r="41" spans="11:18" ht="23.25">
      <c r="K41" s="290">
        <v>1</v>
      </c>
      <c r="L41" s="293">
        <v>2.75</v>
      </c>
      <c r="M41" s="294">
        <v>2.75</v>
      </c>
      <c r="N41" s="295">
        <f>M41*12</f>
        <v>33</v>
      </c>
    </row>
    <row r="42" spans="11:18" ht="23.25">
      <c r="K42" s="290">
        <v>2</v>
      </c>
      <c r="L42" s="293">
        <v>2.75</v>
      </c>
      <c r="M42" s="294">
        <v>3.65</v>
      </c>
      <c r="N42" s="295">
        <f t="shared" ref="N42:N52" si="3">M42*12</f>
        <v>43.8</v>
      </c>
    </row>
    <row r="43" spans="11:18" ht="23.25">
      <c r="K43" s="290">
        <v>3</v>
      </c>
      <c r="L43" s="293">
        <v>2.75</v>
      </c>
      <c r="M43" s="294">
        <v>4.07</v>
      </c>
      <c r="N43" s="295">
        <f t="shared" si="3"/>
        <v>48.84</v>
      </c>
    </row>
    <row r="44" spans="11:18" ht="23.25">
      <c r="K44" s="290">
        <v>4</v>
      </c>
      <c r="L44" s="293">
        <v>2.75</v>
      </c>
      <c r="M44" s="294">
        <v>4.3099999999999996</v>
      </c>
      <c r="N44" s="295">
        <f t="shared" si="3"/>
        <v>51.72</v>
      </c>
    </row>
    <row r="45" spans="11:18" ht="23.25">
      <c r="K45" s="290">
        <v>5</v>
      </c>
      <c r="L45" s="293">
        <v>2.75</v>
      </c>
      <c r="M45" s="294">
        <v>4.46</v>
      </c>
      <c r="N45" s="295">
        <f t="shared" si="3"/>
        <v>53.519999999999996</v>
      </c>
    </row>
    <row r="46" spans="11:18" ht="23.25">
      <c r="K46" s="290">
        <v>6</v>
      </c>
      <c r="L46" s="293">
        <v>2.75</v>
      </c>
      <c r="M46" s="294">
        <v>4.55</v>
      </c>
      <c r="N46" s="295">
        <f t="shared" si="3"/>
        <v>54.599999999999994</v>
      </c>
    </row>
    <row r="47" spans="11:18" ht="23.25">
      <c r="K47" s="290">
        <v>7</v>
      </c>
      <c r="L47" s="293">
        <v>2.75</v>
      </c>
      <c r="M47" s="294">
        <v>4.5999999999999996</v>
      </c>
      <c r="N47" s="295">
        <f t="shared" si="3"/>
        <v>55.199999999999996</v>
      </c>
    </row>
    <row r="48" spans="11:18" ht="23.25">
      <c r="K48" s="290">
        <v>8</v>
      </c>
      <c r="L48" s="293">
        <v>2.75</v>
      </c>
      <c r="M48" s="294">
        <v>4.6500000000000004</v>
      </c>
      <c r="N48" s="295">
        <f t="shared" si="3"/>
        <v>55.800000000000004</v>
      </c>
    </row>
    <row r="49" spans="11:14" ht="23.25">
      <c r="K49" s="290">
        <v>9</v>
      </c>
      <c r="L49" s="293">
        <v>2.75</v>
      </c>
      <c r="M49" s="294">
        <v>4.67</v>
      </c>
      <c r="N49" s="295">
        <f t="shared" si="3"/>
        <v>56.04</v>
      </c>
    </row>
    <row r="50" spans="11:14" ht="23.25">
      <c r="K50" s="290">
        <v>10</v>
      </c>
      <c r="L50" s="293">
        <v>2.75</v>
      </c>
      <c r="M50" s="294">
        <v>4.68</v>
      </c>
      <c r="N50" s="295">
        <f t="shared" si="3"/>
        <v>56.16</v>
      </c>
    </row>
    <row r="51" spans="11:14" ht="23.25">
      <c r="K51" s="290">
        <v>11</v>
      </c>
      <c r="L51" s="293">
        <v>2.75</v>
      </c>
      <c r="M51" s="294">
        <v>4.6900000000000004</v>
      </c>
      <c r="N51" s="295">
        <f t="shared" si="3"/>
        <v>56.28</v>
      </c>
    </row>
    <row r="52" spans="11:14" ht="23.25">
      <c r="K52" s="290">
        <v>12</v>
      </c>
      <c r="L52" s="293">
        <v>2.75</v>
      </c>
      <c r="M52" s="294">
        <v>4.6900000000000004</v>
      </c>
      <c r="N52" s="295">
        <f t="shared" si="3"/>
        <v>56.28</v>
      </c>
    </row>
    <row r="53" spans="11:14" ht="23.25">
      <c r="L53" s="299"/>
      <c r="M53" s="300"/>
      <c r="N53" s="299"/>
    </row>
    <row r="54" spans="11:14" ht="23.25">
      <c r="K54" s="290">
        <v>1</v>
      </c>
      <c r="L54" s="293">
        <v>2</v>
      </c>
      <c r="M54" s="294">
        <v>2</v>
      </c>
      <c r="N54" s="295">
        <f>M54*12</f>
        <v>24</v>
      </c>
    </row>
    <row r="55" spans="11:14" ht="23.25">
      <c r="K55" s="290">
        <v>2</v>
      </c>
      <c r="L55" s="293">
        <v>2</v>
      </c>
      <c r="M55" s="294">
        <v>2.65</v>
      </c>
      <c r="N55" s="295">
        <f t="shared" ref="N55:N65" si="4">M55*12</f>
        <v>31.799999999999997</v>
      </c>
    </row>
    <row r="56" spans="11:14" ht="23.25">
      <c r="K56" s="290">
        <v>3</v>
      </c>
      <c r="L56" s="293">
        <v>2</v>
      </c>
      <c r="M56" s="294">
        <v>2.97</v>
      </c>
      <c r="N56" s="295">
        <f t="shared" si="4"/>
        <v>35.64</v>
      </c>
    </row>
    <row r="57" spans="11:14" ht="23.25">
      <c r="K57" s="290">
        <v>4</v>
      </c>
      <c r="L57" s="293">
        <v>2</v>
      </c>
      <c r="M57" s="294">
        <v>3.15</v>
      </c>
      <c r="N57" s="295">
        <f t="shared" si="4"/>
        <v>37.799999999999997</v>
      </c>
    </row>
    <row r="58" spans="11:14" ht="23.25">
      <c r="K58" s="290">
        <v>5</v>
      </c>
      <c r="L58" s="293">
        <v>2</v>
      </c>
      <c r="M58" s="294">
        <v>3.27</v>
      </c>
      <c r="N58" s="295">
        <f t="shared" si="4"/>
        <v>39.24</v>
      </c>
    </row>
    <row r="59" spans="11:14" ht="23.25">
      <c r="K59" s="290">
        <v>6</v>
      </c>
      <c r="L59" s="293">
        <v>2</v>
      </c>
      <c r="M59" s="294">
        <v>3.33</v>
      </c>
      <c r="N59" s="295">
        <f t="shared" si="4"/>
        <v>39.96</v>
      </c>
    </row>
    <row r="60" spans="11:14" ht="23.25">
      <c r="K60" s="290">
        <v>7</v>
      </c>
      <c r="L60" s="293">
        <v>2</v>
      </c>
      <c r="M60" s="294">
        <v>3.38</v>
      </c>
      <c r="N60" s="295">
        <f t="shared" si="4"/>
        <v>40.56</v>
      </c>
    </row>
    <row r="61" spans="11:14" ht="23.25">
      <c r="K61" s="290">
        <v>8</v>
      </c>
      <c r="L61" s="293">
        <v>2</v>
      </c>
      <c r="M61" s="294">
        <v>3.42</v>
      </c>
      <c r="N61" s="295">
        <f t="shared" si="4"/>
        <v>41.04</v>
      </c>
    </row>
    <row r="62" spans="11:14" ht="23.25">
      <c r="K62" s="290">
        <v>9</v>
      </c>
      <c r="L62" s="293">
        <v>2</v>
      </c>
      <c r="M62" s="294">
        <v>3.44</v>
      </c>
      <c r="N62" s="295">
        <f t="shared" si="4"/>
        <v>41.28</v>
      </c>
    </row>
    <row r="63" spans="11:14" ht="23.25">
      <c r="K63" s="290">
        <v>10</v>
      </c>
      <c r="L63" s="293">
        <v>2</v>
      </c>
      <c r="M63" s="294">
        <v>3.46</v>
      </c>
      <c r="N63" s="295">
        <f t="shared" si="4"/>
        <v>41.519999999999996</v>
      </c>
    </row>
    <row r="64" spans="11:14" ht="23.25">
      <c r="K64" s="290">
        <v>11</v>
      </c>
      <c r="L64" s="293">
        <v>2</v>
      </c>
      <c r="M64" s="294">
        <v>3.47</v>
      </c>
      <c r="N64" s="295">
        <f t="shared" si="4"/>
        <v>41.64</v>
      </c>
    </row>
    <row r="65" spans="11:14" ht="23.25">
      <c r="K65" s="290">
        <v>12</v>
      </c>
      <c r="L65" s="293">
        <v>2</v>
      </c>
      <c r="M65" s="294">
        <v>3.47</v>
      </c>
      <c r="N65" s="295">
        <f t="shared" si="4"/>
        <v>41.64</v>
      </c>
    </row>
    <row r="66" spans="11:14" ht="23.25">
      <c r="L66" s="299"/>
      <c r="M66" s="300"/>
      <c r="N66" s="299"/>
    </row>
    <row r="67" spans="11:14" ht="23.25">
      <c r="K67" s="290">
        <v>1</v>
      </c>
      <c r="L67" s="293">
        <v>2.5</v>
      </c>
      <c r="M67" s="294">
        <v>2.5</v>
      </c>
      <c r="N67" s="297">
        <f>M67*12</f>
        <v>30</v>
      </c>
    </row>
    <row r="68" spans="11:14" ht="23.25">
      <c r="K68" s="290">
        <v>2</v>
      </c>
      <c r="L68" s="293">
        <v>2.5</v>
      </c>
      <c r="M68" s="294">
        <v>3.32</v>
      </c>
      <c r="N68" s="297">
        <f t="shared" ref="N68:N78" si="5">M68*12</f>
        <v>39.839999999999996</v>
      </c>
    </row>
    <row r="69" spans="11:14" ht="23.25">
      <c r="K69" s="290">
        <v>3</v>
      </c>
      <c r="L69" s="293">
        <v>2.5</v>
      </c>
      <c r="M69" s="294">
        <v>3.7</v>
      </c>
      <c r="N69" s="297">
        <f t="shared" si="5"/>
        <v>44.400000000000006</v>
      </c>
    </row>
    <row r="70" spans="11:14" ht="23.25">
      <c r="K70" s="290">
        <v>4</v>
      </c>
      <c r="L70" s="293">
        <v>2.5</v>
      </c>
      <c r="M70" s="294">
        <v>3.92</v>
      </c>
      <c r="N70" s="297">
        <f t="shared" si="5"/>
        <v>47.04</v>
      </c>
    </row>
    <row r="71" spans="11:14" ht="23.25">
      <c r="K71" s="290">
        <v>5</v>
      </c>
      <c r="L71" s="293">
        <v>2.5</v>
      </c>
      <c r="M71" s="294">
        <v>4.0599999999999996</v>
      </c>
      <c r="N71" s="297">
        <f t="shared" si="5"/>
        <v>48.72</v>
      </c>
    </row>
    <row r="72" spans="11:14" ht="23.25">
      <c r="K72" s="290">
        <v>6</v>
      </c>
      <c r="L72" s="293">
        <v>2.5</v>
      </c>
      <c r="M72" s="294">
        <v>4.1500000000000004</v>
      </c>
      <c r="N72" s="297">
        <f t="shared" si="5"/>
        <v>49.800000000000004</v>
      </c>
    </row>
    <row r="73" spans="11:14" ht="23.25">
      <c r="K73" s="290">
        <v>7</v>
      </c>
      <c r="L73" s="293">
        <v>2.5</v>
      </c>
      <c r="M73" s="294">
        <v>4.2</v>
      </c>
      <c r="N73" s="297">
        <f t="shared" si="5"/>
        <v>50.400000000000006</v>
      </c>
    </row>
    <row r="74" spans="11:14" ht="23.25">
      <c r="K74" s="290">
        <v>8</v>
      </c>
      <c r="L74" s="293">
        <v>2.5</v>
      </c>
      <c r="M74" s="294">
        <v>4.24</v>
      </c>
      <c r="N74" s="297">
        <f t="shared" si="5"/>
        <v>50.88</v>
      </c>
    </row>
    <row r="75" spans="11:14" ht="23.25">
      <c r="K75" s="290">
        <v>9</v>
      </c>
      <c r="L75" s="293">
        <v>2.5</v>
      </c>
      <c r="M75" s="294">
        <v>4.2699999999999996</v>
      </c>
      <c r="N75" s="297">
        <f t="shared" si="5"/>
        <v>51.239999999999995</v>
      </c>
    </row>
    <row r="76" spans="11:14" ht="23.25">
      <c r="K76" s="290">
        <v>10</v>
      </c>
      <c r="L76" s="293">
        <v>2.5</v>
      </c>
      <c r="M76" s="294">
        <v>4.2699999999999996</v>
      </c>
      <c r="N76" s="297">
        <f t="shared" si="5"/>
        <v>51.239999999999995</v>
      </c>
    </row>
    <row r="77" spans="11:14" ht="23.25">
      <c r="K77" s="290">
        <v>11</v>
      </c>
      <c r="L77" s="293">
        <v>2.5</v>
      </c>
      <c r="M77" s="294">
        <v>4.28</v>
      </c>
      <c r="N77" s="297">
        <f t="shared" si="5"/>
        <v>51.36</v>
      </c>
    </row>
    <row r="78" spans="11:14" ht="23.25">
      <c r="K78" s="290">
        <v>12</v>
      </c>
      <c r="L78" s="293">
        <v>2.5</v>
      </c>
      <c r="M78" s="294">
        <v>4.28</v>
      </c>
      <c r="N78" s="297">
        <f t="shared" si="5"/>
        <v>51.36</v>
      </c>
    </row>
  </sheetData>
  <mergeCells count="1">
    <mergeCell ref="C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8"/>
  <sheetViews>
    <sheetView showGridLines="0" zoomScale="120" zoomScaleNormal="120" workbookViewId="0">
      <selection activeCell="G61" sqref="G61:H61"/>
    </sheetView>
  </sheetViews>
  <sheetFormatPr defaultRowHeight="12.75"/>
  <cols>
    <col min="1" max="1" width="22.42578125" style="307" bestFit="1" customWidth="1"/>
    <col min="2" max="2" width="5.85546875" style="307" customWidth="1"/>
    <col min="3" max="3" width="20.42578125" style="307" bestFit="1" customWidth="1"/>
    <col min="4" max="4" width="15.85546875" style="307" bestFit="1" customWidth="1"/>
    <col min="5" max="5" width="10.7109375" style="307" bestFit="1" customWidth="1"/>
    <col min="6" max="7" width="9.140625" style="307"/>
    <col min="8" max="8" width="11.85546875" style="307" bestFit="1" customWidth="1"/>
    <col min="9" max="16384" width="9.140625" style="307"/>
  </cols>
  <sheetData>
    <row r="1" spans="1:5" ht="13.5" thickBot="1">
      <c r="A1" s="318" t="s">
        <v>198</v>
      </c>
      <c r="B1" s="318"/>
      <c r="C1" s="318"/>
      <c r="D1" s="318"/>
      <c r="E1" s="318"/>
    </row>
    <row r="2" spans="1:5" ht="15.75" thickBot="1">
      <c r="A2" s="318" t="s">
        <v>109</v>
      </c>
      <c r="B2" s="318"/>
      <c r="C2" s="318"/>
      <c r="D2" s="321" t="s">
        <v>197</v>
      </c>
      <c r="E2" s="318"/>
    </row>
    <row r="3" spans="1:5" ht="15.75" thickBot="1">
      <c r="A3" s="318" t="s">
        <v>196</v>
      </c>
      <c r="B3" s="318"/>
      <c r="C3" s="318"/>
      <c r="D3" s="320">
        <v>300000</v>
      </c>
      <c r="E3" s="318"/>
    </row>
    <row r="4" spans="1:5" ht="15.75" thickBot="1">
      <c r="A4" s="318" t="s">
        <v>195</v>
      </c>
      <c r="B4" s="318"/>
      <c r="C4" s="319">
        <v>2.75E-2</v>
      </c>
      <c r="D4" s="318"/>
      <c r="E4" s="318"/>
    </row>
    <row r="5" spans="1:5" ht="15.75" thickBot="1">
      <c r="A5" s="318" t="s">
        <v>194</v>
      </c>
      <c r="B5" s="318"/>
      <c r="C5" s="319">
        <v>0.06</v>
      </c>
      <c r="D5" s="318"/>
      <c r="E5" s="318"/>
    </row>
    <row r="6" spans="1:5" ht="15.75" thickBot="1">
      <c r="A6" s="318" t="s">
        <v>66</v>
      </c>
      <c r="B6" s="318"/>
      <c r="C6" s="317">
        <v>6</v>
      </c>
      <c r="D6" s="318"/>
      <c r="E6" s="318"/>
    </row>
    <row r="8" spans="1:5">
      <c r="A8" s="307" t="s">
        <v>193</v>
      </c>
      <c r="C8" s="316">
        <f>para_add_notarial</f>
        <v>500</v>
      </c>
    </row>
    <row r="9" spans="1:5" ht="13.5" thickBot="1">
      <c r="A9" s="307" t="s">
        <v>58</v>
      </c>
      <c r="C9" s="316">
        <f>IF(D2="BL-SA",para_blsa_amf,2%/D20+para_add_amf_others)</f>
        <v>1000</v>
      </c>
    </row>
    <row r="10" spans="1:5" ht="15.75" thickBot="1">
      <c r="A10" s="307" t="s">
        <v>192</v>
      </c>
      <c r="B10" s="317" t="s">
        <v>191</v>
      </c>
      <c r="C10" s="316">
        <f>IF(B10="Yes",get_gross_net_amount/1000*get_gross_term+para_add_mlri,0)</f>
        <v>2200</v>
      </c>
      <c r="D10" s="308"/>
    </row>
    <row r="11" spans="1:5">
      <c r="A11" s="307" t="s">
        <v>190</v>
      </c>
      <c r="C11" s="316">
        <f>get_gross_net_amount/200+para_add_doc</f>
        <v>1900</v>
      </c>
    </row>
    <row r="12" spans="1:5">
      <c r="A12" s="307" t="s">
        <v>10</v>
      </c>
      <c r="C12" s="313"/>
      <c r="E12" s="308"/>
    </row>
    <row r="13" spans="1:5">
      <c r="C13" s="315"/>
      <c r="E13" s="308"/>
    </row>
    <row r="14" spans="1:5">
      <c r="C14" s="315"/>
    </row>
    <row r="16" spans="1:5" ht="13.5" thickBot="1">
      <c r="A16" s="307" t="s">
        <v>189</v>
      </c>
      <c r="D16" s="314">
        <f>SUM(C8:C14)</f>
        <v>5600</v>
      </c>
    </row>
    <row r="17" spans="3:8" ht="13.5" thickTop="1">
      <c r="C17" s="454" t="s">
        <v>188</v>
      </c>
      <c r="D17" s="313">
        <f>get_gross_net_amount+D16</f>
        <v>305600</v>
      </c>
      <c r="E17" s="311" t="s">
        <v>187</v>
      </c>
    </row>
    <row r="18" spans="3:8">
      <c r="C18" s="454"/>
      <c r="D18" s="312">
        <f>100%-C5</f>
        <v>0.94</v>
      </c>
      <c r="E18" s="311" t="s">
        <v>186</v>
      </c>
    </row>
    <row r="20" spans="3:8" ht="12.75" customHeight="1">
      <c r="C20" s="455" t="s">
        <v>185</v>
      </c>
      <c r="D20" s="310">
        <f>D17/D18</f>
        <v>325106.38297872344</v>
      </c>
    </row>
    <row r="21" spans="3:8" ht="12.75" customHeight="1">
      <c r="C21" s="455"/>
      <c r="D21" s="309"/>
    </row>
    <row r="22" spans="3:8">
      <c r="D22" s="308"/>
    </row>
    <row r="23" spans="3:8" ht="12.75" customHeight="1">
      <c r="C23" s="455" t="s">
        <v>184</v>
      </c>
      <c r="D23" s="310">
        <f>D20*C4*get_gross_term+D20</f>
        <v>378748.93617021281</v>
      </c>
    </row>
    <row r="24" spans="3:8" ht="12.75" customHeight="1">
      <c r="C24" s="455"/>
      <c r="D24" s="309"/>
    </row>
    <row r="27" spans="3:8">
      <c r="H27" s="308"/>
    </row>
    <row r="28" spans="3:8">
      <c r="D28" s="308"/>
    </row>
  </sheetData>
  <sheetProtection password="CC45" sheet="1" objects="1" scenarios="1"/>
  <mergeCells count="3">
    <mergeCell ref="C17:C18"/>
    <mergeCell ref="C20:C21"/>
    <mergeCell ref="C23:C24"/>
  </mergeCells>
  <dataValidations disablePrompts="1" count="2">
    <dataValidation type="list" allowBlank="1" showInputMessage="1" showErrorMessage="1" sqref="B10" xr:uid="{00000000-0002-0000-0D00-000000000000}">
      <formula1>choice</formula1>
    </dataValidation>
    <dataValidation type="list" allowBlank="1" showInputMessage="1" showErrorMessage="1" promptTitle="TYPE OF LOAN" prompt="SML_x000a_SMEL_x000a_AL_x000a_BL-R_x000a_BL-SA_x000a_QCL_x000a_SL_x000a_OFW_x000a_ PL_x000a_APL_x000a_DL_x000a_PNL- Pension Loan" sqref="D2" xr:uid="{00000000-0002-0000-0D00-000001000000}">
      <formula1>"Car Loan,MCL,REL,SML,SMEL,AL,BL-R,BL-SA,QCL,SL,OFW, PL,APL,DL"</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
  <sheetViews>
    <sheetView workbookViewId="0">
      <selection activeCell="G61" sqref="G61:H61"/>
    </sheetView>
  </sheetViews>
  <sheetFormatPr defaultRowHeight="12.75"/>
  <cols>
    <col min="1" max="1" width="9.140625" style="307"/>
    <col min="2" max="2" width="10" style="307" bestFit="1" customWidth="1"/>
    <col min="3" max="3" width="17.7109375" style="307" bestFit="1" customWidth="1"/>
    <col min="4" max="4" width="10.42578125" style="307" bestFit="1" customWidth="1"/>
    <col min="5" max="5" width="4.85546875" style="307" customWidth="1"/>
    <col min="6" max="6" width="7.7109375" style="307" bestFit="1" customWidth="1"/>
    <col min="7" max="7" width="17.7109375" style="307" bestFit="1" customWidth="1"/>
    <col min="8" max="8" width="10.42578125" style="307" bestFit="1" customWidth="1"/>
    <col min="9" max="9" width="4.28515625" style="307" customWidth="1"/>
    <col min="10" max="16384" width="9.140625" style="307"/>
  </cols>
  <sheetData>
    <row r="1" spans="1:10">
      <c r="A1" s="456" t="s">
        <v>204</v>
      </c>
      <c r="B1" s="456"/>
      <c r="C1" s="456"/>
      <c r="F1" s="456" t="s">
        <v>203</v>
      </c>
      <c r="G1" s="456"/>
    </row>
    <row r="2" spans="1:10">
      <c r="A2" s="324" t="s">
        <v>174</v>
      </c>
      <c r="B2" s="324" t="s">
        <v>173</v>
      </c>
      <c r="C2" s="324" t="s">
        <v>202</v>
      </c>
      <c r="D2" s="324" t="s">
        <v>201</v>
      </c>
      <c r="F2" s="323"/>
      <c r="G2" s="323" t="s">
        <v>200</v>
      </c>
      <c r="H2" s="323" t="s">
        <v>152</v>
      </c>
      <c r="J2" s="307" t="s">
        <v>191</v>
      </c>
    </row>
    <row r="3" spans="1:10">
      <c r="A3" s="322">
        <v>400</v>
      </c>
      <c r="B3" s="322">
        <v>500</v>
      </c>
      <c r="C3" s="322">
        <v>400</v>
      </c>
      <c r="D3" s="322">
        <v>1000</v>
      </c>
      <c r="F3" s="322"/>
      <c r="G3" s="322">
        <v>1000</v>
      </c>
      <c r="H3" s="322">
        <v>500</v>
      </c>
      <c r="J3" s="307" t="s">
        <v>199</v>
      </c>
    </row>
  </sheetData>
  <mergeCells count="2">
    <mergeCell ref="A1:C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155</vt:i4>
      </vt:variant>
    </vt:vector>
  </HeadingPairs>
  <TitlesOfParts>
    <vt:vector size="170" baseType="lpstr">
      <vt:lpstr>MENU</vt:lpstr>
      <vt:lpstr>Master data Input</vt:lpstr>
      <vt:lpstr>computation sheet</vt:lpstr>
      <vt:lpstr>Monthly -client copy</vt:lpstr>
      <vt:lpstr>Semi Monthly SL</vt:lpstr>
      <vt:lpstr>Semi Monthly 3 SL</vt:lpstr>
      <vt:lpstr>Semi Monthly -client copy</vt:lpstr>
      <vt:lpstr>Semi Monthly</vt:lpstr>
      <vt:lpstr>48 payments (computation)semi</vt:lpstr>
      <vt:lpstr>Sheet3</vt:lpstr>
      <vt:lpstr>Agent</vt:lpstr>
      <vt:lpstr>Sheet1</vt:lpstr>
      <vt:lpstr>parameter</vt:lpstr>
      <vt:lpstr>Get Gross (2)</vt:lpstr>
      <vt:lpstr>Parameter (2)</vt:lpstr>
      <vt:lpstr>Account_Management_fee</vt:lpstr>
      <vt:lpstr>Address</vt:lpstr>
      <vt:lpstr>Advanced_Payment</vt:lpstr>
      <vt:lpstr>Agent</vt:lpstr>
      <vt:lpstr>Agents</vt:lpstr>
      <vt:lpstr>'48 payments (computation)semi'!Amount_of_Loan</vt:lpstr>
      <vt:lpstr>'Monthly -client copy'!Amount_of_Loan</vt:lpstr>
      <vt:lpstr>'Semi Monthly'!Amount_of_Loan</vt:lpstr>
      <vt:lpstr>'Semi Monthly -client copy'!Amount_of_Loan</vt:lpstr>
      <vt:lpstr>Amount_of_Loan</vt:lpstr>
      <vt:lpstr>Cash_Advance</vt:lpstr>
      <vt:lpstr>choice</vt:lpstr>
      <vt:lpstr>Client_Name</vt:lpstr>
      <vt:lpstr>Contractual_Rate</vt:lpstr>
      <vt:lpstr>Date_Released</vt:lpstr>
      <vt:lpstr>Date_Released_SM</vt:lpstr>
      <vt:lpstr>'48 payments (computation)semi'!Date_released2</vt:lpstr>
      <vt:lpstr>'Monthly -client copy'!Date_released2</vt:lpstr>
      <vt:lpstr>'Semi Monthly'!Date_released2</vt:lpstr>
      <vt:lpstr>'Semi Monthly -client copy'!Date_released2</vt:lpstr>
      <vt:lpstr>Date_released2</vt:lpstr>
      <vt:lpstr>'48 payments (computation)semi'!Doc_fee</vt:lpstr>
      <vt:lpstr>'Semi Monthly'!Doc_fee</vt:lpstr>
      <vt:lpstr>Doc_fee</vt:lpstr>
      <vt:lpstr>Docfee_Yes_or_No</vt:lpstr>
      <vt:lpstr>'Semi Monthly SL'!EIR</vt:lpstr>
      <vt:lpstr>EIR</vt:lpstr>
      <vt:lpstr>Express</vt:lpstr>
      <vt:lpstr>get_gross_net_amount</vt:lpstr>
      <vt:lpstr>get_gross_term</vt:lpstr>
      <vt:lpstr>get_loan_amount</vt:lpstr>
      <vt:lpstr>'48 payments (computation)semi'!Grace_Period_Interest</vt:lpstr>
      <vt:lpstr>'Monthly -client copy'!Grace_Period_Interest</vt:lpstr>
      <vt:lpstr>'Semi Monthly'!Grace_Period_Interest</vt:lpstr>
      <vt:lpstr>'Semi Monthly -client copy'!Grace_Period_Interest</vt:lpstr>
      <vt:lpstr>Grace_Period_Interest</vt:lpstr>
      <vt:lpstr>Installment_Type</vt:lpstr>
      <vt:lpstr>Installment_Type_SM</vt:lpstr>
      <vt:lpstr>Insurance</vt:lpstr>
      <vt:lpstr>Interest</vt:lpstr>
      <vt:lpstr>'Semi Monthly SL'!Interest_Deminishing</vt:lpstr>
      <vt:lpstr>Interest_Deminishing</vt:lpstr>
      <vt:lpstr>'Semi Monthly SL'!Interest_new</vt:lpstr>
      <vt:lpstr>Interest_new</vt:lpstr>
      <vt:lpstr>Loan_Amount</vt:lpstr>
      <vt:lpstr>'48 payments (computation)semi'!Maturitydate</vt:lpstr>
      <vt:lpstr>'computation sheet'!Maturitydate</vt:lpstr>
      <vt:lpstr>'Monthly -client copy'!Maturitydate</vt:lpstr>
      <vt:lpstr>'Semi Monthly'!Maturitydate</vt:lpstr>
      <vt:lpstr>'Semi Monthly 3 SL'!Maturitydate</vt:lpstr>
      <vt:lpstr>'Semi Monthly -client copy'!Maturitydate</vt:lpstr>
      <vt:lpstr>'Semi Monthly SL'!Maturitydate</vt:lpstr>
      <vt:lpstr>MaturityDate_data_input</vt:lpstr>
      <vt:lpstr>Maturitydate_SM</vt:lpstr>
      <vt:lpstr>'48 payments (computation)semi'!MaturityDate1</vt:lpstr>
      <vt:lpstr>'Monthly -client copy'!MaturityDate1</vt:lpstr>
      <vt:lpstr>'Semi Monthly'!MaturityDate1</vt:lpstr>
      <vt:lpstr>'Semi Monthly 3 SL'!MaturityDate1</vt:lpstr>
      <vt:lpstr>'Semi Monthly -client copy'!MaturityDate1</vt:lpstr>
      <vt:lpstr>'Semi Monthly SL'!MIR</vt:lpstr>
      <vt:lpstr>MIR</vt:lpstr>
      <vt:lpstr>'Semi Monthly SL'!Monthly_Inst</vt:lpstr>
      <vt:lpstr>Monthly_Inst</vt:lpstr>
      <vt:lpstr>Mpayment_deminishing</vt:lpstr>
      <vt:lpstr>'48 payments (computation)semi'!name</vt:lpstr>
      <vt:lpstr>'Monthly -client copy'!name</vt:lpstr>
      <vt:lpstr>'Semi Monthly'!name</vt:lpstr>
      <vt:lpstr>'Semi Monthly -client copy'!name</vt:lpstr>
      <vt:lpstr>name</vt:lpstr>
      <vt:lpstr>Notarial_Fee</vt:lpstr>
      <vt:lpstr>Number_of_Amortization</vt:lpstr>
      <vt:lpstr>OR_NAME</vt:lpstr>
      <vt:lpstr>Outstanding_Balance_from_previous_loan</vt:lpstr>
      <vt:lpstr>para_add_amf_others</vt:lpstr>
      <vt:lpstr>para_add_AMF_reg</vt:lpstr>
      <vt:lpstr>para_add_doc</vt:lpstr>
      <vt:lpstr>para_add_docfee</vt:lpstr>
      <vt:lpstr>'Get Gross (2)'!para_add_mlri</vt:lpstr>
      <vt:lpstr>'Parameter (2)'!para_add_mlri</vt:lpstr>
      <vt:lpstr>para_add_mlri</vt:lpstr>
      <vt:lpstr>para_add_notarial</vt:lpstr>
      <vt:lpstr>para_add_totalob</vt:lpstr>
      <vt:lpstr>para_amf</vt:lpstr>
      <vt:lpstr>para_blsa_amf</vt:lpstr>
      <vt:lpstr>para_notarial</vt:lpstr>
      <vt:lpstr>para_percent_AMF</vt:lpstr>
      <vt:lpstr>'48 payments (computation)semi'!Percent_Interest</vt:lpstr>
      <vt:lpstr>'Monthly -client copy'!Percent_Interest</vt:lpstr>
      <vt:lpstr>'Semi Monthly'!Percent_Interest</vt:lpstr>
      <vt:lpstr>'Semi Monthly -client copy'!Percent_Interest</vt:lpstr>
      <vt:lpstr>Percent_Interest</vt:lpstr>
      <vt:lpstr>'48 payments (computation)semi'!Percent_processingfee</vt:lpstr>
      <vt:lpstr>'Monthly -client copy'!Percent_processingfee</vt:lpstr>
      <vt:lpstr>'Semi Monthly'!Percent_processingfee</vt:lpstr>
      <vt:lpstr>'Semi Monthly -client copy'!Percent_processingfee</vt:lpstr>
      <vt:lpstr>Percent_processingfee</vt:lpstr>
      <vt:lpstr>'48 payments (computation)semi'!PERIOD</vt:lpstr>
      <vt:lpstr>'Monthly -client copy'!PERIOD</vt:lpstr>
      <vt:lpstr>'Semi Monthly'!PERIOD</vt:lpstr>
      <vt:lpstr>'Semi Monthly -client copy'!PERIOD</vt:lpstr>
      <vt:lpstr>PERIOD</vt:lpstr>
      <vt:lpstr>'Semi Monthly SL'!period2</vt:lpstr>
      <vt:lpstr>period2</vt:lpstr>
      <vt:lpstr>PN_no.</vt:lpstr>
      <vt:lpstr>'48 payments (computation)semi'!Principal_Amount</vt:lpstr>
      <vt:lpstr>'Monthly -client copy'!Principal_Amount</vt:lpstr>
      <vt:lpstr>'Semi Monthly'!Principal_Amount</vt:lpstr>
      <vt:lpstr>'Semi Monthly -client copy'!Principal_Amount</vt:lpstr>
      <vt:lpstr>Principal_Amount</vt:lpstr>
      <vt:lpstr>'48 payments (computation)semi'!Print_Area</vt:lpstr>
      <vt:lpstr>'computation sheet'!Print_Area</vt:lpstr>
      <vt:lpstr>'Master data Input'!Print_Area</vt:lpstr>
      <vt:lpstr>MENU!Print_Area</vt:lpstr>
      <vt:lpstr>'Monthly -client copy'!Print_Area</vt:lpstr>
      <vt:lpstr>'Semi Monthly'!Print_Area</vt:lpstr>
      <vt:lpstr>'Semi Monthly 3 SL'!Print_Area</vt:lpstr>
      <vt:lpstr>'Semi Monthly -client copy'!Print_Area</vt:lpstr>
      <vt:lpstr>'Semi Monthly SL'!Print_Area</vt:lpstr>
      <vt:lpstr>'48 payments (computation)semi'!Processing_fee</vt:lpstr>
      <vt:lpstr>'Monthly -client copy'!Processing_fee</vt:lpstr>
      <vt:lpstr>'Semi Monthly'!Processing_fee</vt:lpstr>
      <vt:lpstr>'Semi Monthly -client copy'!Processing_fee</vt:lpstr>
      <vt:lpstr>Processing_fee</vt:lpstr>
      <vt:lpstr>Processing_Fee_in_Percentage</vt:lpstr>
      <vt:lpstr>Referal_fee</vt:lpstr>
      <vt:lpstr>Renewal</vt:lpstr>
      <vt:lpstr>selection</vt:lpstr>
      <vt:lpstr>Semi_Monthly_SM</vt:lpstr>
      <vt:lpstr>Start_Payment</vt:lpstr>
      <vt:lpstr>Start_Payment_SM</vt:lpstr>
      <vt:lpstr>Term_masterdatainput</vt:lpstr>
      <vt:lpstr>'48 payments (computation)semi'!Terms</vt:lpstr>
      <vt:lpstr>'Monthly -client copy'!Terms</vt:lpstr>
      <vt:lpstr>'Semi Monthly'!Terms</vt:lpstr>
      <vt:lpstr>'Semi Monthly 3 SL'!Terms</vt:lpstr>
      <vt:lpstr>'Semi Monthly -client copy'!Terms</vt:lpstr>
      <vt:lpstr>'48 payments (computation)semi'!Total_Deduction</vt:lpstr>
      <vt:lpstr>'Monthly -client copy'!Total_Deduction</vt:lpstr>
      <vt:lpstr>'Semi Monthly'!Total_Deduction</vt:lpstr>
      <vt:lpstr>'Semi Monthly -client copy'!Total_Deduction</vt:lpstr>
      <vt:lpstr>Total_Deduction</vt:lpstr>
      <vt:lpstr>'48 payments (computation)semi'!Total_Finance_Charge</vt:lpstr>
      <vt:lpstr>'Monthly -client copy'!Total_Finance_Charge</vt:lpstr>
      <vt:lpstr>'Semi Monthly'!Total_Finance_Charge</vt:lpstr>
      <vt:lpstr>'Semi Monthly -client copy'!Total_Finance_Charge</vt:lpstr>
      <vt:lpstr>Total_Finance_Charge</vt:lpstr>
      <vt:lpstr>Total_InterestRate</vt:lpstr>
      <vt:lpstr>'48 payments (computation)semi'!Total_UII</vt:lpstr>
      <vt:lpstr>'Monthly -client copy'!Total_UII</vt:lpstr>
      <vt:lpstr>'Semi Monthly'!Total_UII</vt:lpstr>
      <vt:lpstr>'Semi Monthly -client copy'!Total_UII</vt:lpstr>
      <vt:lpstr>Total_UII</vt:lpstr>
      <vt:lpstr>totalOB</vt:lpstr>
      <vt:lpstr>Type_of_Loan</vt:lpstr>
      <vt:lpstr>upfront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dc:creator>
  <cp:lastModifiedBy>MIS Assistant</cp:lastModifiedBy>
  <cp:lastPrinted>2018-06-14T06:42:28Z</cp:lastPrinted>
  <dcterms:created xsi:type="dcterms:W3CDTF">2010-05-12T08:02:55Z</dcterms:created>
  <dcterms:modified xsi:type="dcterms:W3CDTF">2026-03-04T09:00:56Z</dcterms:modified>
</cp:coreProperties>
</file>